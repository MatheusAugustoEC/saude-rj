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1_decomposicao" sheetId="2" state="visible" r:id="rId2"/>
    <sheet xmlns:r="http://schemas.openxmlformats.org/officeDocument/2006/relationships" name="Modelos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cod_ibge</t>
        </is>
      </c>
      <c r="B1" s="1" t="inlineStr">
        <is>
          <t>ente</t>
        </is>
      </c>
      <c r="C1" s="1" t="inlineStr">
        <is>
          <t>grupo</t>
        </is>
      </c>
      <c r="D1" s="1" t="inlineStr">
        <is>
          <t>populacao (IBGE 2024)</t>
        </is>
      </c>
      <c r="E1" s="1" t="inlineStr">
        <is>
          <t>saude (R$, Siconfi DCA)</t>
        </is>
      </c>
      <c r="F1" s="1" t="inlineStr">
        <is>
          <t>receita (R$, RREO Anexo 01)</t>
        </is>
      </c>
    </row>
    <row r="2">
      <c r="A2" s="2" t="inlineStr">
        <is>
          <t>3300100</t>
        </is>
      </c>
      <c r="B2" s="2" t="inlineStr">
        <is>
          <t>Angra dos Reis</t>
        </is>
      </c>
      <c r="C2" s="2" t="inlineStr">
        <is>
          <t>Costa Verde</t>
        </is>
      </c>
      <c r="D2" s="2" t="n">
        <v>179120</v>
      </c>
      <c r="E2" s="2" t="n">
        <v>679328352.79</v>
      </c>
      <c r="F2" s="2" t="n">
        <v>2336713744.83</v>
      </c>
    </row>
    <row r="3">
      <c r="A3" s="2" t="inlineStr">
        <is>
          <t>3300159</t>
        </is>
      </c>
      <c r="B3" s="2" t="inlineStr">
        <is>
          <t>Aperibé</t>
        </is>
      </c>
      <c r="C3" s="2" t="inlineStr">
        <is>
          <t>Noroeste Fluminense</t>
        </is>
      </c>
      <c r="D3" s="2" t="n">
        <v>11420</v>
      </c>
      <c r="E3" s="2" t="n">
        <v>34661347.77</v>
      </c>
      <c r="F3" s="2" t="n">
        <v>118699047.09</v>
      </c>
    </row>
    <row r="4">
      <c r="A4" s="2" t="inlineStr">
        <is>
          <t>3300209</t>
        </is>
      </c>
      <c r="B4" s="2" t="inlineStr">
        <is>
          <t>Araruama</t>
        </is>
      </c>
      <c r="C4" s="2" t="inlineStr">
        <is>
          <t>Baixadas Litorâneas</t>
        </is>
      </c>
      <c r="D4" s="2" t="n">
        <v>137773</v>
      </c>
      <c r="E4" s="2" t="n">
        <v>270021506.33</v>
      </c>
      <c r="F4" s="2" t="n">
        <v>1157474132.53</v>
      </c>
    </row>
    <row r="5">
      <c r="A5" s="2" t="inlineStr">
        <is>
          <t>3300225</t>
        </is>
      </c>
      <c r="B5" s="2" t="inlineStr">
        <is>
          <t>Areal</t>
        </is>
      </c>
      <c r="C5" s="2" t="inlineStr">
        <is>
          <t>Centro-Sul Fluminense</t>
        </is>
      </c>
      <c r="D5" s="2" t="n">
        <v>12236</v>
      </c>
      <c r="E5" s="2" t="n">
        <v>34690388.52</v>
      </c>
      <c r="F5" s="2" t="n">
        <v>144185038.52</v>
      </c>
    </row>
    <row r="6">
      <c r="A6" s="2" t="inlineStr">
        <is>
          <t>3300233</t>
        </is>
      </c>
      <c r="B6" s="2" t="inlineStr">
        <is>
          <t>Armação dos Búzios</t>
        </is>
      </c>
      <c r="C6" s="2" t="inlineStr">
        <is>
          <t>Baixadas Litorâneas</t>
        </is>
      </c>
      <c r="D6" s="2" t="n">
        <v>42442</v>
      </c>
      <c r="E6" s="2" t="n">
        <v>156237515.64</v>
      </c>
      <c r="F6" s="2" t="n">
        <v>632434211.91</v>
      </c>
    </row>
    <row r="7">
      <c r="A7" s="2" t="inlineStr">
        <is>
          <t>3300258</t>
        </is>
      </c>
      <c r="B7" s="2" t="inlineStr">
        <is>
          <t>Arraial do Cabo</t>
        </is>
      </c>
      <c r="C7" s="2" t="inlineStr">
        <is>
          <t>Baixadas Litorâneas</t>
        </is>
      </c>
      <c r="D7" s="2" t="n">
        <v>32794</v>
      </c>
      <c r="E7" s="2" t="n">
        <v>181172190.84</v>
      </c>
      <c r="F7" s="2" t="n">
        <v>818865088.52</v>
      </c>
    </row>
    <row r="8">
      <c r="A8" s="2" t="inlineStr">
        <is>
          <t>3300407</t>
        </is>
      </c>
      <c r="B8" s="2" t="inlineStr">
        <is>
          <t>Barra Mansa</t>
        </is>
      </c>
      <c r="C8" s="2" t="inlineStr">
        <is>
          <t>Médio Paraíba</t>
        </is>
      </c>
      <c r="D8" s="2" t="n">
        <v>181688</v>
      </c>
      <c r="E8" s="2" t="n">
        <v>258250532.16</v>
      </c>
      <c r="F8" s="2" t="n">
        <v>897534602.14</v>
      </c>
    </row>
    <row r="9">
      <c r="A9" s="2" t="inlineStr">
        <is>
          <t>3300308</t>
        </is>
      </c>
      <c r="B9" s="2" t="inlineStr">
        <is>
          <t>Barra do Piraí</t>
        </is>
      </c>
      <c r="C9" s="2" t="inlineStr">
        <is>
          <t>Médio Paraíba</t>
        </is>
      </c>
      <c r="D9" s="2" t="n">
        <v>98501</v>
      </c>
      <c r="E9" s="2" t="n">
        <v>125487461.03</v>
      </c>
      <c r="F9" s="2" t="n">
        <v>413553917.62</v>
      </c>
    </row>
    <row r="10">
      <c r="A10" s="2" t="inlineStr">
        <is>
          <t>3300456</t>
        </is>
      </c>
      <c r="B10" s="2" t="inlineStr">
        <is>
          <t>Belford Roxo</t>
        </is>
      </c>
      <c r="C10" s="2" t="inlineStr">
        <is>
          <t>Baixada (núcleo de 6)</t>
        </is>
      </c>
      <c r="D10" s="2" t="n">
        <v>518263</v>
      </c>
      <c r="E10" s="2" t="n">
        <v>570948485.6900001</v>
      </c>
      <c r="F10" s="2" t="n">
        <v>1634765364</v>
      </c>
    </row>
    <row r="11">
      <c r="A11" s="2" t="inlineStr">
        <is>
          <t>3300506</t>
        </is>
      </c>
      <c r="B11" s="2" t="inlineStr">
        <is>
          <t>Bom Jardim</t>
        </is>
      </c>
      <c r="C11" s="2" t="inlineStr">
        <is>
          <t>Serrana</t>
        </is>
      </c>
      <c r="D11" s="2" t="n">
        <v>29736</v>
      </c>
      <c r="E11" s="2" t="n">
        <v>43970483.2</v>
      </c>
      <c r="F11" s="2" t="n">
        <v>163879107.58</v>
      </c>
    </row>
    <row r="12">
      <c r="A12" s="2" t="inlineStr">
        <is>
          <t>3300605</t>
        </is>
      </c>
      <c r="B12" s="2" t="inlineStr">
        <is>
          <t>Bom Jesus do Itabapoana</t>
        </is>
      </c>
      <c r="C12" s="2" t="inlineStr">
        <is>
          <t>Noroeste Fluminense</t>
        </is>
      </c>
      <c r="D12" s="2" t="n">
        <v>37172</v>
      </c>
      <c r="E12" s="2" t="n">
        <v>141295041.21</v>
      </c>
      <c r="F12" s="2" t="n">
        <v>282190332.36</v>
      </c>
    </row>
    <row r="13">
      <c r="A13" s="2" t="inlineStr">
        <is>
          <t>3300704</t>
        </is>
      </c>
      <c r="B13" s="2" t="inlineStr">
        <is>
          <t>Cabo Frio</t>
        </is>
      </c>
      <c r="C13" s="2" t="inlineStr">
        <is>
          <t>Baixadas Litorâneas</t>
        </is>
      </c>
      <c r="D13" s="2" t="n">
        <v>238166</v>
      </c>
      <c r="E13" s="2" t="n">
        <v>473166771.61</v>
      </c>
      <c r="F13" s="2" t="n">
        <v>1471284168.35</v>
      </c>
    </row>
    <row r="14">
      <c r="A14" s="2" t="inlineStr">
        <is>
          <t>3300803</t>
        </is>
      </c>
      <c r="B14" s="2" t="inlineStr">
        <is>
          <t>Cachoeiras de Macacu</t>
        </is>
      </c>
      <c r="C14" s="2" t="inlineStr">
        <is>
          <t>Metropolitana (resto, 15)</t>
        </is>
      </c>
      <c r="D14" s="2" t="n">
        <v>59837</v>
      </c>
      <c r="E14" s="2" t="n">
        <v>159608197.62</v>
      </c>
      <c r="F14" s="2" t="n">
        <v>460630892.48</v>
      </c>
    </row>
    <row r="15">
      <c r="A15" s="2" t="inlineStr">
        <is>
          <t>3300902</t>
        </is>
      </c>
      <c r="B15" s="2" t="inlineStr">
        <is>
          <t>Cambuci</t>
        </is>
      </c>
      <c r="C15" s="2" t="inlineStr">
        <is>
          <t>Noroeste Fluminense</t>
        </is>
      </c>
      <c r="D15" s="2" t="n">
        <v>15070</v>
      </c>
      <c r="E15" s="2" t="n">
        <v>49074792.74</v>
      </c>
      <c r="F15" s="2" t="n">
        <v>123659927.14</v>
      </c>
    </row>
    <row r="16">
      <c r="A16" s="2" t="inlineStr">
        <is>
          <t>3301009</t>
        </is>
      </c>
      <c r="B16" s="2" t="inlineStr">
        <is>
          <t>Campos dos Goytacazes</t>
        </is>
      </c>
      <c r="C16" s="2" t="inlineStr">
        <is>
          <t>Norte Fluminense</t>
        </is>
      </c>
      <c r="D16" s="2" t="n">
        <v>519011</v>
      </c>
      <c r="E16" s="2" t="n">
        <v>1148304580.84</v>
      </c>
      <c r="F16" s="2" t="n">
        <v>2849669523.61</v>
      </c>
    </row>
    <row r="17">
      <c r="A17" s="2" t="inlineStr">
        <is>
          <t>3301108</t>
        </is>
      </c>
      <c r="B17" s="2" t="inlineStr">
        <is>
          <t>Cantagalo</t>
        </is>
      </c>
      <c r="C17" s="2" t="inlineStr">
        <is>
          <t>Serrana</t>
        </is>
      </c>
      <c r="D17" s="2" t="n">
        <v>19996</v>
      </c>
      <c r="E17" s="2" t="n">
        <v>46667363.7</v>
      </c>
      <c r="F17" s="2" t="n">
        <v>159596041.32</v>
      </c>
    </row>
    <row r="18">
      <c r="A18" s="2" t="inlineStr">
        <is>
          <t>3300936</t>
        </is>
      </c>
      <c r="B18" s="2" t="inlineStr">
        <is>
          <t>Carapebus</t>
        </is>
      </c>
      <c r="C18" s="2" t="inlineStr">
        <is>
          <t>Norte Fluminense</t>
        </is>
      </c>
      <c r="D18" s="2" t="n">
        <v>14325</v>
      </c>
      <c r="E18" s="2" t="n">
        <v>91552160.98999999</v>
      </c>
      <c r="F18" s="2" t="n">
        <v>229695174.33</v>
      </c>
    </row>
    <row r="19">
      <c r="A19" s="2" t="inlineStr">
        <is>
          <t>3301157</t>
        </is>
      </c>
      <c r="B19" s="2" t="inlineStr">
        <is>
          <t>Cardoso Moreira</t>
        </is>
      </c>
      <c r="C19" s="2" t="inlineStr">
        <is>
          <t>Norte Fluminense</t>
        </is>
      </c>
      <c r="D19" s="2" t="n">
        <v>13403</v>
      </c>
      <c r="E19" s="2" t="n">
        <v>36042006.81</v>
      </c>
      <c r="F19" s="2" t="n">
        <v>130167871.89</v>
      </c>
    </row>
    <row r="20">
      <c r="A20" s="2" t="inlineStr">
        <is>
          <t>3301207</t>
        </is>
      </c>
      <c r="B20" s="2" t="inlineStr">
        <is>
          <t>Carmo</t>
        </is>
      </c>
      <c r="C20" s="2" t="inlineStr">
        <is>
          <t>Serrana</t>
        </is>
      </c>
      <c r="D20" s="2" t="n">
        <v>17740</v>
      </c>
      <c r="E20" s="2" t="n">
        <v>44455465.7</v>
      </c>
      <c r="F20" s="2" t="n">
        <v>150054991.71</v>
      </c>
    </row>
    <row r="21">
      <c r="A21" s="2" t="inlineStr">
        <is>
          <t>3301306</t>
        </is>
      </c>
      <c r="B21" s="2" t="inlineStr">
        <is>
          <t>Casimiro de Abreu</t>
        </is>
      </c>
      <c r="C21" s="2" t="inlineStr">
        <is>
          <t>Baixadas Litorâneas</t>
        </is>
      </c>
      <c r="D21" s="2" t="n">
        <v>48563</v>
      </c>
      <c r="E21" s="2" t="n">
        <v>126700016.17</v>
      </c>
      <c r="F21" s="2" t="n">
        <v>548248930.54</v>
      </c>
    </row>
    <row r="22">
      <c r="A22" s="2" t="inlineStr">
        <is>
          <t>3300951</t>
        </is>
      </c>
      <c r="B22" s="2" t="inlineStr">
        <is>
          <t>Comendador Levy Gasparian</t>
        </is>
      </c>
      <c r="C22" s="2" t="inlineStr">
        <is>
          <t>Centro-Sul Fluminense</t>
        </is>
      </c>
      <c r="D22" s="2" t="n">
        <v>9044</v>
      </c>
      <c r="E22" s="2" t="n">
        <v>25730883.19</v>
      </c>
      <c r="F22" s="2" t="n">
        <v>88148636.28</v>
      </c>
    </row>
    <row r="23">
      <c r="A23" s="2" t="inlineStr">
        <is>
          <t>3301405</t>
        </is>
      </c>
      <c r="B23" s="2" t="inlineStr">
        <is>
          <t>Conceição de Macabu</t>
        </is>
      </c>
      <c r="C23" s="2" t="inlineStr">
        <is>
          <t>Norte Fluminense</t>
        </is>
      </c>
      <c r="D23" s="2" t="n">
        <v>21769</v>
      </c>
      <c r="E23" s="2" t="n">
        <v>40668890.87</v>
      </c>
      <c r="F23" s="2" t="n">
        <v>142436278.87</v>
      </c>
    </row>
    <row r="24">
      <c r="A24" s="2" t="inlineStr">
        <is>
          <t>3301504</t>
        </is>
      </c>
      <c r="B24" s="2" t="inlineStr">
        <is>
          <t>Cordeiro</t>
        </is>
      </c>
      <c r="C24" s="2" t="inlineStr">
        <is>
          <t>Serrana</t>
        </is>
      </c>
      <c r="D24" s="2" t="n">
        <v>21444</v>
      </c>
      <c r="E24" s="2" t="n">
        <v>47324006.56</v>
      </c>
      <c r="F24" s="2" t="n">
        <v>148640723.01</v>
      </c>
    </row>
    <row r="25">
      <c r="A25" s="2" t="inlineStr">
        <is>
          <t>3301603</t>
        </is>
      </c>
      <c r="B25" s="2" t="inlineStr">
        <is>
          <t>Duas Barras</t>
        </is>
      </c>
      <c r="C25" s="2" t="inlineStr">
        <is>
          <t>Serrana</t>
        </is>
      </c>
      <c r="D25" s="2" t="n">
        <v>11354</v>
      </c>
      <c r="E25" s="2" t="n">
        <v>25648862.04</v>
      </c>
      <c r="F25" s="2" t="n">
        <v>96789026.09</v>
      </c>
    </row>
    <row r="26">
      <c r="A26" s="2" t="inlineStr">
        <is>
          <t>3301702</t>
        </is>
      </c>
      <c r="B26" s="2" t="inlineStr">
        <is>
          <t>Duque de Caxias</t>
        </is>
      </c>
      <c r="C26" s="2" t="inlineStr">
        <is>
          <t>Baixada (núcleo de 6)</t>
        </is>
      </c>
      <c r="D26" s="2" t="n">
        <v>866347</v>
      </c>
      <c r="E26" s="2" t="n">
        <v>1876480021.5</v>
      </c>
      <c r="F26" s="2" t="n">
        <v>5219524664.64</v>
      </c>
    </row>
    <row r="27">
      <c r="A27" s="2" t="inlineStr">
        <is>
          <t>3301801</t>
        </is>
      </c>
      <c r="B27" s="2" t="inlineStr">
        <is>
          <t>Engenheiro Paulo de Frontin</t>
        </is>
      </c>
      <c r="C27" s="2" t="inlineStr">
        <is>
          <t>Centro-Sul Fluminense</t>
        </is>
      </c>
      <c r="D27" s="2" t="n">
        <v>12648</v>
      </c>
      <c r="E27" s="2" t="n">
        <v>38622636.67</v>
      </c>
      <c r="F27" s="2" t="n">
        <v>107029591.62</v>
      </c>
    </row>
    <row r="28">
      <c r="A28" s="2" t="inlineStr">
        <is>
          <t>3301850</t>
        </is>
      </c>
      <c r="B28" s="2" t="inlineStr">
        <is>
          <t>Guapimirim</t>
        </is>
      </c>
      <c r="C28" s="2" t="inlineStr">
        <is>
          <t>Metropolitana (resto, 15)</t>
        </is>
      </c>
      <c r="D28" s="2" t="n">
        <v>54300</v>
      </c>
      <c r="E28" s="2" t="n">
        <v>131270992.37</v>
      </c>
      <c r="F28" s="2" t="n">
        <v>460276234.73</v>
      </c>
    </row>
    <row r="29">
      <c r="A29" s="2" t="inlineStr">
        <is>
          <t>3301876</t>
        </is>
      </c>
      <c r="B29" s="2" t="inlineStr">
        <is>
          <t>Iguaba Grande</t>
        </is>
      </c>
      <c r="C29" s="2" t="inlineStr">
        <is>
          <t>Baixadas Litorâneas</t>
        </is>
      </c>
      <c r="D29" s="2" t="n">
        <v>29577</v>
      </c>
      <c r="E29" s="2" t="n">
        <v>91707251.20999999</v>
      </c>
      <c r="F29" s="2" t="n">
        <v>406089024.23</v>
      </c>
    </row>
    <row r="30">
      <c r="A30" s="2" t="inlineStr">
        <is>
          <t>3301900</t>
        </is>
      </c>
      <c r="B30" s="2" t="inlineStr">
        <is>
          <t>Itaboraí</t>
        </is>
      </c>
      <c r="C30" s="2" t="inlineStr">
        <is>
          <t>Metropolitana (resto, 15)</t>
        </is>
      </c>
      <c r="D30" s="2" t="n">
        <v>240040</v>
      </c>
      <c r="E30" s="2" t="n">
        <v>272912041.95</v>
      </c>
      <c r="F30" s="2" t="n">
        <v>1021768398.75</v>
      </c>
    </row>
    <row r="31">
      <c r="A31" s="2" t="inlineStr">
        <is>
          <t>3302007</t>
        </is>
      </c>
      <c r="B31" s="2" t="inlineStr">
        <is>
          <t>Itaguaí</t>
        </is>
      </c>
      <c r="C31" s="2" t="inlineStr">
        <is>
          <t>Metropolitana (resto, 15)</t>
        </is>
      </c>
      <c r="D31" s="2" t="n">
        <v>123980</v>
      </c>
      <c r="E31" s="2" t="n">
        <v>309610454.83</v>
      </c>
      <c r="F31" s="2" t="n">
        <v>1037564688.73</v>
      </c>
    </row>
    <row r="32">
      <c r="A32" s="2" t="inlineStr">
        <is>
          <t>3302056</t>
        </is>
      </c>
      <c r="B32" s="2" t="inlineStr">
        <is>
          <t>Italva</t>
        </is>
      </c>
      <c r="C32" s="2" t="inlineStr">
        <is>
          <t>Noroeste Fluminense</t>
        </is>
      </c>
      <c r="D32" s="2" t="n">
        <v>14517</v>
      </c>
      <c r="E32" s="2" t="n">
        <v>48277339.4</v>
      </c>
      <c r="F32" s="2" t="n">
        <v>131624134.39</v>
      </c>
    </row>
    <row r="33">
      <c r="A33" s="2" t="inlineStr">
        <is>
          <t>3302106</t>
        </is>
      </c>
      <c r="B33" s="2" t="inlineStr">
        <is>
          <t>Itaocara</t>
        </is>
      </c>
      <c r="C33" s="2" t="inlineStr">
        <is>
          <t>Noroeste Fluminense</t>
        </is>
      </c>
      <c r="D33" s="2" t="n">
        <v>23643</v>
      </c>
      <c r="E33" s="2" t="n">
        <v>45386384.1</v>
      </c>
      <c r="F33" s="2" t="n">
        <v>146001505.68</v>
      </c>
    </row>
    <row r="34">
      <c r="A34" s="2" t="inlineStr">
        <is>
          <t>3302205</t>
        </is>
      </c>
      <c r="B34" s="2" t="inlineStr">
        <is>
          <t>Itaperuna</t>
        </is>
      </c>
      <c r="C34" s="2" t="inlineStr">
        <is>
          <t>Noroeste Fluminense</t>
        </is>
      </c>
      <c r="D34" s="2" t="n">
        <v>107246</v>
      </c>
      <c r="E34" s="2" t="n">
        <v>302177751.18</v>
      </c>
      <c r="F34" s="2" t="n">
        <v>601175508.53</v>
      </c>
    </row>
    <row r="35">
      <c r="A35" s="2" t="inlineStr">
        <is>
          <t>3302254</t>
        </is>
      </c>
      <c r="B35" s="2" t="inlineStr">
        <is>
          <t>Itatiaia</t>
        </is>
      </c>
      <c r="C35" s="2" t="inlineStr">
        <is>
          <t>Médio Paraíba</t>
        </is>
      </c>
      <c r="D35" s="2" t="n">
        <v>32694</v>
      </c>
      <c r="E35" s="2" t="n">
        <v>108430898.26</v>
      </c>
      <c r="F35" s="2" t="n">
        <v>375545584.09</v>
      </c>
    </row>
    <row r="36">
      <c r="A36" s="2" t="inlineStr">
        <is>
          <t>3302270</t>
        </is>
      </c>
      <c r="B36" s="2" t="inlineStr">
        <is>
          <t>Japeri</t>
        </is>
      </c>
      <c r="C36" s="2" t="inlineStr">
        <is>
          <t>Metropolitana (resto, 15)</t>
        </is>
      </c>
      <c r="D36" s="2" t="n">
        <v>102149</v>
      </c>
      <c r="E36" s="2" t="n">
        <v>135552026.39</v>
      </c>
      <c r="F36" s="2" t="n">
        <v>390295827.35</v>
      </c>
    </row>
    <row r="37">
      <c r="A37" s="2" t="inlineStr">
        <is>
          <t>3302304</t>
        </is>
      </c>
      <c r="B37" s="2" t="inlineStr">
        <is>
          <t>Laje do Muriaé</t>
        </is>
      </c>
      <c r="C37" s="2" t="inlineStr">
        <is>
          <t>Noroeste Fluminense</t>
        </is>
      </c>
      <c r="D37" s="2" t="n">
        <v>7584</v>
      </c>
      <c r="E37" s="2" t="n">
        <v>24905415.48</v>
      </c>
      <c r="F37" s="2" t="n">
        <v>89830454.91</v>
      </c>
    </row>
    <row r="38">
      <c r="A38" s="2" t="inlineStr">
        <is>
          <t>3302403</t>
        </is>
      </c>
      <c r="B38" s="2" t="inlineStr">
        <is>
          <t>Macaé</t>
        </is>
      </c>
      <c r="C38" s="2" t="inlineStr">
        <is>
          <t>Norte Fluminense</t>
        </is>
      </c>
      <c r="D38" s="2" t="n">
        <v>264138</v>
      </c>
      <c r="E38" s="2" t="n">
        <v>989242810.8</v>
      </c>
      <c r="F38" s="2" t="n">
        <v>4598616185.85</v>
      </c>
    </row>
    <row r="39">
      <c r="A39" s="2" t="inlineStr">
        <is>
          <t>3302452</t>
        </is>
      </c>
      <c r="B39" s="2" t="inlineStr">
        <is>
          <t>Macuco</t>
        </is>
      </c>
      <c r="C39" s="2" t="inlineStr">
        <is>
          <t>Serrana</t>
        </is>
      </c>
      <c r="D39" s="2" t="n">
        <v>5601</v>
      </c>
      <c r="E39" s="2" t="n">
        <v>24796982.08</v>
      </c>
      <c r="F39" s="2" t="n">
        <v>79739823.92</v>
      </c>
    </row>
    <row r="40">
      <c r="A40" s="2" t="inlineStr">
        <is>
          <t>3302502</t>
        </is>
      </c>
      <c r="B40" s="2" t="inlineStr">
        <is>
          <t>Magé</t>
        </is>
      </c>
      <c r="C40" s="2" t="inlineStr">
        <is>
          <t>Metropolitana (resto, 15)</t>
        </is>
      </c>
      <c r="D40" s="2" t="n">
        <v>244092</v>
      </c>
      <c r="E40" s="2" t="n">
        <v>375957011.77</v>
      </c>
      <c r="F40" s="2" t="n">
        <v>1195860455.09</v>
      </c>
    </row>
    <row r="41">
      <c r="A41" s="2" t="inlineStr">
        <is>
          <t>3302601</t>
        </is>
      </c>
      <c r="B41" s="2" t="inlineStr">
        <is>
          <t>Mangaratiba</t>
        </is>
      </c>
      <c r="C41" s="2" t="inlineStr">
        <is>
          <t>Costa Verde</t>
        </is>
      </c>
      <c r="D41" s="2" t="n">
        <v>43624</v>
      </c>
      <c r="E41" s="2" t="n">
        <v>149133464.04</v>
      </c>
      <c r="F41" s="2" t="n">
        <v>561824507.41</v>
      </c>
    </row>
    <row r="42">
      <c r="A42" s="2" t="inlineStr">
        <is>
          <t>3302700</t>
        </is>
      </c>
      <c r="B42" s="2" t="inlineStr">
        <is>
          <t>Maricá</t>
        </is>
      </c>
      <c r="C42" s="2" t="inlineStr">
        <is>
          <t>Metropolitana (resto, 15)</t>
        </is>
      </c>
      <c r="D42" s="2" t="n">
        <v>211986</v>
      </c>
      <c r="E42" s="2" t="n">
        <v>1099826706.22</v>
      </c>
      <c r="F42" s="2" t="n">
        <v>6688624520.46</v>
      </c>
    </row>
    <row r="43">
      <c r="A43" s="2" t="inlineStr">
        <is>
          <t>3302809</t>
        </is>
      </c>
      <c r="B43" s="2" t="inlineStr">
        <is>
          <t>Mendes</t>
        </is>
      </c>
      <c r="C43" s="2" t="inlineStr">
        <is>
          <t>Centro-Sul Fluminense</t>
        </is>
      </c>
      <c r="D43" s="2" t="n">
        <v>18049</v>
      </c>
      <c r="E43" s="2" t="n">
        <v>35404215.32</v>
      </c>
      <c r="F43" s="2" t="n">
        <v>159672441.38</v>
      </c>
    </row>
    <row r="44">
      <c r="A44" s="2" t="inlineStr">
        <is>
          <t>3302858</t>
        </is>
      </c>
      <c r="B44" s="2" t="inlineStr">
        <is>
          <t>Mesquita</t>
        </is>
      </c>
      <c r="C44" s="2" t="inlineStr">
        <is>
          <t>Baixada (núcleo de 6)</t>
        </is>
      </c>
      <c r="D44" s="2" t="n">
        <v>178803</v>
      </c>
      <c r="E44" s="2" t="n">
        <v>198701992</v>
      </c>
      <c r="F44" s="2" t="n">
        <v>701314625.5</v>
      </c>
    </row>
    <row r="45">
      <c r="A45" s="2" t="inlineStr">
        <is>
          <t>3302908</t>
        </is>
      </c>
      <c r="B45" s="2" t="inlineStr">
        <is>
          <t>Miguel Pereira</t>
        </is>
      </c>
      <c r="C45" s="2" t="inlineStr">
        <is>
          <t>Centro-Sul Fluminense</t>
        </is>
      </c>
      <c r="D45" s="2" t="n">
        <v>28123</v>
      </c>
      <c r="E45" s="2" t="n">
        <v>85619055.17</v>
      </c>
      <c r="F45" s="2" t="n">
        <v>283966247.04</v>
      </c>
    </row>
    <row r="46">
      <c r="A46" s="2" t="inlineStr">
        <is>
          <t>3303005</t>
        </is>
      </c>
      <c r="B46" s="2" t="inlineStr">
        <is>
          <t>Miracema</t>
        </is>
      </c>
      <c r="C46" s="2" t="inlineStr">
        <is>
          <t>Noroeste Fluminense</t>
        </is>
      </c>
      <c r="D46" s="2" t="n">
        <v>28411</v>
      </c>
      <c r="E46" s="2" t="n">
        <v>49348301.64</v>
      </c>
      <c r="F46" s="2" t="n">
        <v>176799816.44</v>
      </c>
    </row>
    <row r="47">
      <c r="A47" s="2" t="inlineStr">
        <is>
          <t>3303104</t>
        </is>
      </c>
      <c r="B47" s="2" t="inlineStr">
        <is>
          <t>Natividade</t>
        </is>
      </c>
      <c r="C47" s="2" t="inlineStr">
        <is>
          <t>Noroeste Fluminense</t>
        </is>
      </c>
      <c r="D47" s="2" t="n">
        <v>15550</v>
      </c>
      <c r="E47" s="2" t="n">
        <v>40427483.88</v>
      </c>
      <c r="F47" s="2" t="n">
        <v>126654217.33</v>
      </c>
    </row>
    <row r="48">
      <c r="A48" s="2" t="inlineStr">
        <is>
          <t>3303203</t>
        </is>
      </c>
      <c r="B48" s="2" t="inlineStr">
        <is>
          <t>Nilópolis</t>
        </is>
      </c>
      <c r="C48" s="2" t="inlineStr">
        <is>
          <t>Baixada (núcleo de 6)</t>
        </is>
      </c>
      <c r="D48" s="2" t="n">
        <v>155544</v>
      </c>
      <c r="E48" s="2" t="n">
        <v>205913058.24</v>
      </c>
      <c r="F48" s="2" t="n">
        <v>558731861.71</v>
      </c>
    </row>
    <row r="49">
      <c r="A49" s="2" t="inlineStr">
        <is>
          <t>3303302</t>
        </is>
      </c>
      <c r="B49" s="2" t="inlineStr">
        <is>
          <t>Niterói</t>
        </is>
      </c>
      <c r="C49" s="2" t="inlineStr">
        <is>
          <t>Metropolitana (resto, 15)</t>
        </is>
      </c>
      <c r="D49" s="2" t="n">
        <v>516720</v>
      </c>
      <c r="E49" s="2" t="n">
        <v>877478913.0599999</v>
      </c>
      <c r="F49" s="2" t="n">
        <v>6106029413.53</v>
      </c>
    </row>
    <row r="50">
      <c r="A50" s="2" t="inlineStr">
        <is>
          <t>3303401</t>
        </is>
      </c>
      <c r="B50" s="2" t="inlineStr">
        <is>
          <t>Nova Friburgo</t>
        </is>
      </c>
      <c r="C50" s="2" t="inlineStr">
        <is>
          <t>Serrana</t>
        </is>
      </c>
      <c r="D50" s="2" t="n">
        <v>203328</v>
      </c>
      <c r="E50" s="2" t="n">
        <v>310050017.86</v>
      </c>
      <c r="F50" s="2" t="n">
        <v>828108193.35</v>
      </c>
    </row>
    <row r="51">
      <c r="A51" s="2" t="inlineStr">
        <is>
          <t>3303500</t>
        </is>
      </c>
      <c r="B51" s="2" t="inlineStr">
        <is>
          <t>Nova Iguaçu</t>
        </is>
      </c>
      <c r="C51" s="2" t="inlineStr">
        <is>
          <t>Baixada (núcleo de 6)</t>
        </is>
      </c>
      <c r="D51" s="2" t="n">
        <v>843046</v>
      </c>
      <c r="E51" s="2" t="n">
        <v>864769620.46</v>
      </c>
      <c r="F51" s="2" t="n">
        <v>2638186154.77</v>
      </c>
    </row>
    <row r="52">
      <c r="A52" s="2" t="inlineStr">
        <is>
          <t>3303609</t>
        </is>
      </c>
      <c r="B52" s="2" t="inlineStr">
        <is>
          <t>Paracambi</t>
        </is>
      </c>
      <c r="C52" s="2" t="inlineStr">
        <is>
          <t>Metropolitana (resto, 15)</t>
        </is>
      </c>
      <c r="D52" s="2" t="n">
        <v>43656</v>
      </c>
      <c r="E52" s="2" t="n">
        <v>94528221.72</v>
      </c>
      <c r="F52" s="2" t="n">
        <v>279173247.24</v>
      </c>
    </row>
    <row r="53">
      <c r="A53" s="2" t="inlineStr">
        <is>
          <t>3303807</t>
        </is>
      </c>
      <c r="B53" s="2" t="inlineStr">
        <is>
          <t>Paraty</t>
        </is>
      </c>
      <c r="C53" s="2" t="inlineStr">
        <is>
          <t>Costa Verde</t>
        </is>
      </c>
      <c r="D53" s="2" t="n">
        <v>47614</v>
      </c>
      <c r="E53" s="2" t="n">
        <v>152548195.02</v>
      </c>
      <c r="F53" s="2" t="n">
        <v>527576316.43</v>
      </c>
    </row>
    <row r="54">
      <c r="A54" s="2" t="inlineStr">
        <is>
          <t>3303708</t>
        </is>
      </c>
      <c r="B54" s="2" t="inlineStr">
        <is>
          <t>Paraíba do Sul</t>
        </is>
      </c>
      <c r="C54" s="2" t="inlineStr">
        <is>
          <t>Centro-Sul Fluminense</t>
        </is>
      </c>
      <c r="D54" s="2" t="n">
        <v>44467</v>
      </c>
      <c r="E54" s="2" t="n">
        <v>69315508.55</v>
      </c>
      <c r="F54" s="2" t="n">
        <v>268096562.86</v>
      </c>
    </row>
    <row r="55">
      <c r="A55" s="2" t="inlineStr">
        <is>
          <t>3303856</t>
        </is>
      </c>
      <c r="B55" s="2" t="inlineStr">
        <is>
          <t>Paty do Alferes</t>
        </is>
      </c>
      <c r="C55" s="2" t="inlineStr">
        <is>
          <t>Centro-Sul Fluminense</t>
        </is>
      </c>
      <c r="D55" s="2" t="n">
        <v>31345</v>
      </c>
      <c r="E55" s="2" t="n">
        <v>53590490.6</v>
      </c>
      <c r="F55" s="2" t="n">
        <v>208497522.59</v>
      </c>
    </row>
    <row r="56">
      <c r="A56" s="2" t="inlineStr">
        <is>
          <t>3303906</t>
        </is>
      </c>
      <c r="B56" s="2" t="inlineStr">
        <is>
          <t>Petrópolis</t>
        </is>
      </c>
      <c r="C56" s="2" t="inlineStr">
        <is>
          <t>Metropolitana (resto, 15)</t>
        </is>
      </c>
      <c r="D56" s="2" t="n">
        <v>294983</v>
      </c>
      <c r="E56" s="2" t="n">
        <v>578293179.52</v>
      </c>
      <c r="F56" s="2" t="n">
        <v>1773208142.36</v>
      </c>
    </row>
    <row r="57">
      <c r="A57" s="2" t="inlineStr">
        <is>
          <t>3303955</t>
        </is>
      </c>
      <c r="B57" s="2" t="inlineStr">
        <is>
          <t>Pinheiral</t>
        </is>
      </c>
      <c r="C57" s="2" t="inlineStr">
        <is>
          <t>Médio Paraíba</t>
        </is>
      </c>
      <c r="D57" s="2" t="n">
        <v>25085</v>
      </c>
      <c r="E57" s="2" t="n">
        <v>57822498.26</v>
      </c>
      <c r="F57" s="2" t="n">
        <v>165380604.72</v>
      </c>
    </row>
    <row r="58">
      <c r="A58" s="2" t="inlineStr">
        <is>
          <t>3304003</t>
        </is>
      </c>
      <c r="B58" s="2" t="inlineStr">
        <is>
          <t>Piraí</t>
        </is>
      </c>
      <c r="C58" s="2" t="inlineStr">
        <is>
          <t>Médio Paraíba</t>
        </is>
      </c>
      <c r="D58" s="2" t="n">
        <v>29054</v>
      </c>
      <c r="E58" s="2" t="n">
        <v>109798768.6</v>
      </c>
      <c r="F58" s="2" t="n">
        <v>323546601.47</v>
      </c>
    </row>
    <row r="59">
      <c r="A59" s="2" t="inlineStr">
        <is>
          <t>3304102</t>
        </is>
      </c>
      <c r="B59" s="2" t="inlineStr">
        <is>
          <t>Porciúncula</t>
        </is>
      </c>
      <c r="C59" s="2" t="inlineStr">
        <is>
          <t>Noroeste Fluminense</t>
        </is>
      </c>
      <c r="D59" s="2" t="n">
        <v>17832</v>
      </c>
      <c r="E59" s="2" t="n">
        <v>47216338.92</v>
      </c>
      <c r="F59" s="2" t="n">
        <v>152311704.11</v>
      </c>
    </row>
    <row r="60">
      <c r="A60" s="2" t="inlineStr">
        <is>
          <t>3304110</t>
        </is>
      </c>
      <c r="B60" s="2" t="inlineStr">
        <is>
          <t>Porto Real</t>
        </is>
      </c>
      <c r="C60" s="2" t="inlineStr">
        <is>
          <t>Médio Paraíba</t>
        </is>
      </c>
      <c r="D60" s="2" t="n">
        <v>21064</v>
      </c>
      <c r="E60" s="2" t="n">
        <v>94323287.72</v>
      </c>
      <c r="F60" s="2" t="n">
        <v>299205520.97</v>
      </c>
    </row>
    <row r="61">
      <c r="A61" s="2" t="inlineStr">
        <is>
          <t>3304128</t>
        </is>
      </c>
      <c r="B61" s="2" t="inlineStr">
        <is>
          <t>Quatis</t>
        </is>
      </c>
      <c r="C61" s="2" t="inlineStr">
        <is>
          <t>Médio Paraíba</t>
        </is>
      </c>
      <c r="D61" s="2" t="n">
        <v>14158</v>
      </c>
      <c r="E61" s="2" t="n">
        <v>29866095.57</v>
      </c>
      <c r="F61" s="2" t="n">
        <v>139184487.92</v>
      </c>
    </row>
    <row r="62">
      <c r="A62" s="2" t="inlineStr">
        <is>
          <t>3304144</t>
        </is>
      </c>
      <c r="B62" s="2" t="inlineStr">
        <is>
          <t>Queimados</t>
        </is>
      </c>
      <c r="C62" s="2" t="inlineStr">
        <is>
          <t>Metropolitana (resto, 15)</t>
        </is>
      </c>
      <c r="D62" s="2" t="n">
        <v>149093</v>
      </c>
      <c r="E62" s="2" t="n">
        <v>149594815.29</v>
      </c>
      <c r="F62" s="2" t="n">
        <v>533539591.49</v>
      </c>
    </row>
    <row r="63">
      <c r="A63" s="2" t="inlineStr">
        <is>
          <t>3304151</t>
        </is>
      </c>
      <c r="B63" s="2" t="inlineStr">
        <is>
          <t>Quissamã</t>
        </is>
      </c>
      <c r="C63" s="2" t="inlineStr">
        <is>
          <t>Norte Fluminense</t>
        </is>
      </c>
      <c r="D63" s="2" t="n">
        <v>23126</v>
      </c>
      <c r="E63" s="2" t="n">
        <v>127687788.39</v>
      </c>
      <c r="F63" s="2" t="n">
        <v>482103072.45</v>
      </c>
    </row>
    <row r="64">
      <c r="A64" s="2" t="inlineStr">
        <is>
          <t>3304201</t>
        </is>
      </c>
      <c r="B64" s="2" t="inlineStr">
        <is>
          <t>Resende</t>
        </is>
      </c>
      <c r="C64" s="2" t="inlineStr">
        <is>
          <t>Médio Paraíba</t>
        </is>
      </c>
      <c r="D64" s="2" t="n">
        <v>137612</v>
      </c>
      <c r="E64" s="2" t="n">
        <v>367230163.87</v>
      </c>
      <c r="F64" s="2" t="n">
        <v>1018057232.93</v>
      </c>
    </row>
    <row r="65">
      <c r="A65" s="2" t="inlineStr">
        <is>
          <t>3304300</t>
        </is>
      </c>
      <c r="B65" s="2" t="inlineStr">
        <is>
          <t>Rio Bonito</t>
        </is>
      </c>
      <c r="C65" s="2" t="inlineStr">
        <is>
          <t>Metropolitana (resto, 15)</t>
        </is>
      </c>
      <c r="D65" s="2" t="n">
        <v>59113</v>
      </c>
      <c r="E65" s="2" t="n">
        <v>189419096.79</v>
      </c>
      <c r="F65" s="2" t="n">
        <v>424591132.46</v>
      </c>
    </row>
    <row r="66">
      <c r="A66" s="2" t="inlineStr">
        <is>
          <t>3304409</t>
        </is>
      </c>
      <c r="B66" s="2" t="inlineStr">
        <is>
          <t>Rio Claro</t>
        </is>
      </c>
      <c r="C66" s="2" t="inlineStr">
        <is>
          <t>Médio Paraíba</t>
        </is>
      </c>
      <c r="D66" s="2" t="n">
        <v>17950</v>
      </c>
      <c r="E66" s="2" t="n">
        <v>59980815.43</v>
      </c>
      <c r="F66" s="2" t="n">
        <v>194236508.54</v>
      </c>
    </row>
    <row r="67">
      <c r="A67" s="2" t="inlineStr">
        <is>
          <t>3304508</t>
        </is>
      </c>
      <c r="B67" s="2" t="inlineStr">
        <is>
          <t>Rio das Flores</t>
        </is>
      </c>
      <c r="C67" s="2" t="inlineStr">
        <is>
          <t>Centro-Sul Fluminense</t>
        </is>
      </c>
      <c r="D67" s="2" t="n">
        <v>9264</v>
      </c>
      <c r="E67" s="2" t="n">
        <v>34434303</v>
      </c>
      <c r="F67" s="2" t="n">
        <v>103582023.63</v>
      </c>
    </row>
    <row r="68">
      <c r="A68" s="2" t="inlineStr">
        <is>
          <t>3304524</t>
        </is>
      </c>
      <c r="B68" s="2" t="inlineStr">
        <is>
          <t>Rio das Ostras</t>
        </is>
      </c>
      <c r="C68" s="2" t="inlineStr">
        <is>
          <t>Baixadas Litorâneas</t>
        </is>
      </c>
      <c r="D68" s="2" t="n">
        <v>168099</v>
      </c>
      <c r="E68" s="2" t="n">
        <v>271568761.04</v>
      </c>
      <c r="F68" s="2" t="n">
        <v>1098040497.91</v>
      </c>
    </row>
    <row r="69">
      <c r="A69" s="2" t="inlineStr">
        <is>
          <t>3304607</t>
        </is>
      </c>
      <c r="B69" s="2" t="inlineStr">
        <is>
          <t>Santa Maria Madalena</t>
        </is>
      </c>
      <c r="C69" s="2" t="inlineStr">
        <is>
          <t>Serrana</t>
        </is>
      </c>
      <c r="D69" s="2" t="n">
        <v>10579</v>
      </c>
      <c r="E69" s="2" t="n">
        <v>26598764.2</v>
      </c>
      <c r="F69" s="2" t="n">
        <v>101609524.48</v>
      </c>
    </row>
    <row r="70">
      <c r="A70" s="2" t="inlineStr">
        <is>
          <t>3304706</t>
        </is>
      </c>
      <c r="B70" s="2" t="inlineStr">
        <is>
          <t>Santo Antônio de Pádua</t>
        </is>
      </c>
      <c r="C70" s="2" t="inlineStr">
        <is>
          <t>Noroeste Fluminense</t>
        </is>
      </c>
      <c r="D70" s="2" t="n">
        <v>43686</v>
      </c>
      <c r="E70" s="2" t="n">
        <v>98442915.98</v>
      </c>
      <c r="F70" s="2" t="n">
        <v>253754287.79</v>
      </c>
    </row>
    <row r="71">
      <c r="A71" s="2" t="inlineStr">
        <is>
          <t>3305406</t>
        </is>
      </c>
      <c r="B71" s="2" t="inlineStr">
        <is>
          <t>Sapucaia</t>
        </is>
      </c>
      <c r="C71" s="2" t="inlineStr">
        <is>
          <t>Centro-Sul Fluminense</t>
        </is>
      </c>
      <c r="D71" s="2" t="n">
        <v>18289</v>
      </c>
      <c r="E71" s="2" t="n">
        <v>40928346.57</v>
      </c>
      <c r="F71" s="2" t="n">
        <v>172238290.98</v>
      </c>
    </row>
    <row r="72">
      <c r="A72" s="2" t="inlineStr">
        <is>
          <t>3305505</t>
        </is>
      </c>
      <c r="B72" s="2" t="inlineStr">
        <is>
          <t>Saquarema</t>
        </is>
      </c>
      <c r="C72" s="2" t="inlineStr">
        <is>
          <t>Baixadas Litorâneas</t>
        </is>
      </c>
      <c r="D72" s="2" t="n">
        <v>95201</v>
      </c>
      <c r="E72" s="2" t="n">
        <v>475358081.95</v>
      </c>
      <c r="F72" s="2" t="n">
        <v>3065129528.68</v>
      </c>
    </row>
    <row r="73">
      <c r="A73" s="2" t="inlineStr">
        <is>
          <t>3305554</t>
        </is>
      </c>
      <c r="B73" s="2" t="inlineStr">
        <is>
          <t>Seropédica</t>
        </is>
      </c>
      <c r="C73" s="2" t="inlineStr">
        <is>
          <t>Metropolitana (resto, 15)</t>
        </is>
      </c>
      <c r="D73" s="2" t="n">
        <v>84737</v>
      </c>
      <c r="E73" s="2" t="n">
        <v>139198955.1</v>
      </c>
      <c r="F73" s="2" t="n">
        <v>482017129.75</v>
      </c>
    </row>
    <row r="74">
      <c r="A74" s="2" t="inlineStr">
        <is>
          <t>3305604</t>
        </is>
      </c>
      <c r="B74" s="2" t="inlineStr">
        <is>
          <t>Silva Jardim</t>
        </is>
      </c>
      <c r="C74" s="2" t="inlineStr">
        <is>
          <t>Baixadas Litorâneas</t>
        </is>
      </c>
      <c r="D74" s="2" t="n">
        <v>22026</v>
      </c>
      <c r="E74" s="2" t="n">
        <v>86721309.56</v>
      </c>
      <c r="F74" s="2" t="n">
        <v>335709918.74</v>
      </c>
    </row>
    <row r="75">
      <c r="A75" s="2" t="inlineStr">
        <is>
          <t>3305703</t>
        </is>
      </c>
      <c r="B75" s="2" t="inlineStr">
        <is>
          <t>Sumidouro</t>
        </is>
      </c>
      <c r="C75" s="2" t="inlineStr">
        <is>
          <t>Serrana</t>
        </is>
      </c>
      <c r="D75" s="2" t="n">
        <v>15690</v>
      </c>
      <c r="E75" s="2" t="n">
        <v>42438983.03</v>
      </c>
      <c r="F75" s="2" t="n">
        <v>135442110.74</v>
      </c>
    </row>
    <row r="76">
      <c r="A76" s="2" t="inlineStr">
        <is>
          <t>3304805</t>
        </is>
      </c>
      <c r="B76" s="2" t="inlineStr">
        <is>
          <t>São Fidélis</t>
        </is>
      </c>
      <c r="C76" s="2" t="inlineStr">
        <is>
          <t>Norte Fluminense</t>
        </is>
      </c>
      <c r="D76" s="2" t="n">
        <v>41197</v>
      </c>
      <c r="E76" s="2" t="n">
        <v>59997522.56</v>
      </c>
      <c r="F76" s="2" t="n">
        <v>212543074.57</v>
      </c>
    </row>
    <row r="77">
      <c r="A77" s="2" t="inlineStr">
        <is>
          <t>3304755</t>
        </is>
      </c>
      <c r="B77" s="2" t="inlineStr">
        <is>
          <t>São Francisco de Itabapoana</t>
        </is>
      </c>
      <c r="C77" s="2" t="inlineStr">
        <is>
          <t>Norte Fluminense</t>
        </is>
      </c>
      <c r="D77" s="2" t="n">
        <v>47368</v>
      </c>
      <c r="E77" s="2" t="n">
        <v>54724726.18</v>
      </c>
      <c r="F77" s="2" t="n">
        <v>305229944.59</v>
      </c>
    </row>
    <row r="78">
      <c r="A78" s="2" t="inlineStr">
        <is>
          <t>3304904</t>
        </is>
      </c>
      <c r="B78" s="2" t="inlineStr">
        <is>
          <t>São Gonçalo</t>
        </is>
      </c>
      <c r="C78" s="2" t="inlineStr">
        <is>
          <t>Metropolitana (resto, 15)</t>
        </is>
      </c>
      <c r="D78" s="2" t="n">
        <v>960652</v>
      </c>
      <c r="E78" s="2" t="n">
        <v>1022744461.14</v>
      </c>
      <c r="F78" s="2" t="n">
        <v>2528799535.7</v>
      </c>
    </row>
    <row r="79">
      <c r="A79" s="2" t="inlineStr">
        <is>
          <t>3305133</t>
        </is>
      </c>
      <c r="B79" s="2" t="inlineStr">
        <is>
          <t>São José de Ubá</t>
        </is>
      </c>
      <c r="C79" s="2" t="inlineStr">
        <is>
          <t>Noroeste Fluminense</t>
        </is>
      </c>
      <c r="D79" s="2" t="n">
        <v>7315</v>
      </c>
      <c r="E79" s="2" t="n">
        <v>26077831.47</v>
      </c>
      <c r="F79" s="2" t="n">
        <v>89302690.70999999</v>
      </c>
    </row>
    <row r="80">
      <c r="A80" s="2" t="inlineStr">
        <is>
          <t>3305158</t>
        </is>
      </c>
      <c r="B80" s="2" t="inlineStr">
        <is>
          <t>São José do Vale do Rio Preto</t>
        </is>
      </c>
      <c r="C80" s="2" t="inlineStr">
        <is>
          <t>Serrana</t>
        </is>
      </c>
      <c r="D80" s="2" t="n">
        <v>22799</v>
      </c>
      <c r="E80" s="2" t="n">
        <v>46699571.38</v>
      </c>
      <c r="F80" s="2" t="n">
        <v>140895191.94</v>
      </c>
    </row>
    <row r="81">
      <c r="A81" s="2" t="inlineStr">
        <is>
          <t>3305000</t>
        </is>
      </c>
      <c r="B81" s="2" t="inlineStr">
        <is>
          <t>São João da Barra</t>
        </is>
      </c>
      <c r="C81" s="2" t="inlineStr">
        <is>
          <t>Norte Fluminense</t>
        </is>
      </c>
      <c r="D81" s="2" t="n">
        <v>38708</v>
      </c>
      <c r="E81" s="2" t="n">
        <v>250239356.01</v>
      </c>
      <c r="F81" s="2" t="n">
        <v>921638717.9299999</v>
      </c>
    </row>
    <row r="82">
      <c r="A82" s="2" t="inlineStr">
        <is>
          <t>3305109</t>
        </is>
      </c>
      <c r="B82" s="2" t="inlineStr">
        <is>
          <t>São João de Meriti</t>
        </is>
      </c>
      <c r="C82" s="2" t="inlineStr">
        <is>
          <t>Baixada (núcleo de 6)</t>
        </is>
      </c>
      <c r="D82" s="2" t="n">
        <v>466536</v>
      </c>
      <c r="E82" s="2" t="n">
        <v>419830419.55</v>
      </c>
      <c r="F82" s="2" t="n">
        <v>1239054405.18</v>
      </c>
    </row>
    <row r="83">
      <c r="A83" s="2" t="inlineStr">
        <is>
          <t>3305208</t>
        </is>
      </c>
      <c r="B83" s="2" t="inlineStr">
        <is>
          <t>São Pedro da Aldeia</t>
        </is>
      </c>
      <c r="C83" s="2" t="inlineStr">
        <is>
          <t>Baixadas Litorâneas</t>
        </is>
      </c>
      <c r="D83" s="2" t="n">
        <v>110556</v>
      </c>
      <c r="E83" s="2" t="n">
        <v>104941064.88</v>
      </c>
      <c r="F83" s="2" t="n">
        <v>485551841.34</v>
      </c>
    </row>
    <row r="84">
      <c r="A84" s="2" t="inlineStr">
        <is>
          <t>3305307</t>
        </is>
      </c>
      <c r="B84" s="2" t="inlineStr">
        <is>
          <t>São Sebastião do Alto</t>
        </is>
      </c>
      <c r="C84" s="2" t="inlineStr">
        <is>
          <t>Serrana</t>
        </is>
      </c>
      <c r="D84" s="2" t="n">
        <v>7999</v>
      </c>
      <c r="E84" s="2" t="n">
        <v>24412114.15</v>
      </c>
      <c r="F84" s="2" t="n">
        <v>92942878.98</v>
      </c>
    </row>
    <row r="85">
      <c r="A85" s="2" t="inlineStr">
        <is>
          <t>3305752</t>
        </is>
      </c>
      <c r="B85" s="2" t="inlineStr">
        <is>
          <t>Tanguá</t>
        </is>
      </c>
      <c r="C85" s="2" t="inlineStr">
        <is>
          <t>Metropolitana (resto, 15)</t>
        </is>
      </c>
      <c r="D85" s="2" t="n">
        <v>32858</v>
      </c>
      <c r="E85" s="2" t="n">
        <v>69222377.17</v>
      </c>
      <c r="F85" s="2" t="n">
        <v>206121266.06</v>
      </c>
    </row>
    <row r="86">
      <c r="A86" s="2" t="inlineStr">
        <is>
          <t>3305802</t>
        </is>
      </c>
      <c r="B86" s="2" t="inlineStr">
        <is>
          <t>Teresópolis</t>
        </is>
      </c>
      <c r="C86" s="2" t="inlineStr">
        <is>
          <t>Serrana</t>
        </is>
      </c>
      <c r="D86" s="2" t="n">
        <v>176692</v>
      </c>
      <c r="E86" s="2" t="n">
        <v>214950613.84</v>
      </c>
      <c r="F86" s="2" t="n">
        <v>869909218.1799999</v>
      </c>
    </row>
    <row r="87">
      <c r="A87" s="2" t="inlineStr">
        <is>
          <t>3305901</t>
        </is>
      </c>
      <c r="B87" s="2" t="inlineStr">
        <is>
          <t>Trajano de Moraes</t>
        </is>
      </c>
      <c r="C87" s="2" t="inlineStr">
        <is>
          <t>Serrana</t>
        </is>
      </c>
      <c r="D87" s="2" t="n">
        <v>10652</v>
      </c>
      <c r="E87" s="2" t="n">
        <v>22276511.81</v>
      </c>
      <c r="F87" s="2" t="n">
        <v>110704578.71</v>
      </c>
    </row>
    <row r="88">
      <c r="A88" s="2" t="inlineStr">
        <is>
          <t>3306008</t>
        </is>
      </c>
      <c r="B88" s="2" t="inlineStr">
        <is>
          <t>Três Rios</t>
        </is>
      </c>
      <c r="C88" s="2" t="inlineStr">
        <is>
          <t>Centro-Sul Fluminense</t>
        </is>
      </c>
      <c r="D88" s="2" t="n">
        <v>82300</v>
      </c>
      <c r="E88" s="2" t="n">
        <v>163996675.19</v>
      </c>
      <c r="F88" s="2" t="n">
        <v>562590682.96</v>
      </c>
    </row>
    <row r="89">
      <c r="A89" s="2" t="inlineStr">
        <is>
          <t>3306107</t>
        </is>
      </c>
      <c r="B89" s="2" t="inlineStr">
        <is>
          <t>Valença</t>
        </is>
      </c>
      <c r="C89" s="2" t="inlineStr">
        <is>
          <t>Médio Paraíba</t>
        </is>
      </c>
      <c r="D89" s="2" t="n">
        <v>71462</v>
      </c>
      <c r="E89" s="2" t="n">
        <v>118865099.21</v>
      </c>
      <c r="F89" s="2" t="n">
        <v>391625945.24</v>
      </c>
    </row>
    <row r="90">
      <c r="A90" s="2" t="inlineStr">
        <is>
          <t>3306156</t>
        </is>
      </c>
      <c r="B90" s="2" t="inlineStr">
        <is>
          <t>Varre-Sai</t>
        </is>
      </c>
      <c r="C90" s="2" t="inlineStr">
        <is>
          <t>Noroeste Fluminense</t>
        </is>
      </c>
      <c r="D90" s="2" t="n">
        <v>10559</v>
      </c>
      <c r="E90" s="2" t="n">
        <v>25294036.65</v>
      </c>
      <c r="F90" s="2" t="n">
        <v>100526242.94</v>
      </c>
    </row>
    <row r="91">
      <c r="A91" s="2" t="inlineStr">
        <is>
          <t>3306206</t>
        </is>
      </c>
      <c r="B91" s="2" t="inlineStr">
        <is>
          <t>Vassouras</t>
        </is>
      </c>
      <c r="C91" s="2" t="inlineStr">
        <is>
          <t>Centro-Sul Fluminense</t>
        </is>
      </c>
      <c r="D91" s="2" t="n">
        <v>35904</v>
      </c>
      <c r="E91" s="2" t="n">
        <v>138622234.09</v>
      </c>
      <c r="F91" s="2" t="n">
        <v>298655340.44</v>
      </c>
    </row>
    <row r="92">
      <c r="A92" s="2" t="inlineStr">
        <is>
          <t>3306305</t>
        </is>
      </c>
      <c r="B92" s="2" t="inlineStr">
        <is>
          <t>Volta Redonda</t>
        </is>
      </c>
      <c r="C92" s="2" t="inlineStr">
        <is>
          <t>Médio Paraíba</t>
        </is>
      </c>
      <c r="D92" s="2" t="n">
        <v>279898</v>
      </c>
      <c r="E92" s="2" t="n">
        <v>544978965.67</v>
      </c>
      <c r="F92" s="2" t="n">
        <v>1876226509.42</v>
      </c>
    </row>
    <row r="93">
      <c r="A93" s="2" t="inlineStr">
        <is>
          <t>3304557</t>
        </is>
      </c>
      <c r="B93" s="2" t="inlineStr">
        <is>
          <t>Rio de Janeiro</t>
        </is>
      </c>
      <c r="C93" s="2" t="inlineStr">
        <is>
          <t>Capital</t>
        </is>
      </c>
      <c r="D93" s="2" t="n">
        <v>6729894</v>
      </c>
      <c r="E93" s="2" t="n">
        <v>7642644288.09</v>
      </c>
      <c r="F93" s="2" t="n">
        <v>38957557570.16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</t>
        </is>
      </c>
      <c r="B1" s="1" t="inlineStr">
        <is>
          <t>gasto_hab</t>
        </is>
      </c>
      <c r="C1" s="1" t="inlineStr">
        <is>
          <t>receita_hab</t>
        </is>
      </c>
      <c r="D1" s="1" t="inlineStr">
        <is>
          <t>fatia</t>
        </is>
      </c>
      <c r="E1" s="1" t="inlineStr">
        <is>
          <t>ln_gasto</t>
        </is>
      </c>
      <c r="F1" s="1" t="inlineStr">
        <is>
          <t>ln_receita</t>
        </is>
      </c>
      <c r="G1" s="1" t="inlineStr">
        <is>
          <t>ln_fatia</t>
        </is>
      </c>
      <c r="H1" s="1" t="inlineStr">
        <is>
          <t>desvio_gasto</t>
        </is>
      </c>
      <c r="I1" s="1" t="inlineStr">
        <is>
          <t>desvio_receita</t>
        </is>
      </c>
      <c r="J1" s="1" t="inlineStr">
        <is>
          <t>desvio_fatia</t>
        </is>
      </c>
      <c r="K1" s="1" t="inlineStr">
        <is>
          <t>conferência (gasto - receita - fatia)</t>
        </is>
      </c>
      <c r="L1" s="1" t="inlineStr">
        <is>
          <t>gasto vs referência</t>
        </is>
      </c>
      <c r="M1" s="1" t="inlineStr">
        <is>
          <t>receita vs referência</t>
        </is>
      </c>
      <c r="N1" s="1" t="inlineStr">
        <is>
          <t>fatia vs referência</t>
        </is>
      </c>
    </row>
    <row r="2">
      <c r="A2" s="3">
        <f>Dados!B2</f>
        <v/>
      </c>
      <c r="B2" s="3">
        <f>Dados!E2/Dados!D2</f>
        <v/>
      </c>
      <c r="C2" s="3">
        <f>Dados!F2/Dados!D2</f>
        <v/>
      </c>
      <c r="D2" s="3">
        <f>Dados!E2/Dados!F2</f>
        <v/>
      </c>
      <c r="E2" s="3">
        <f>LN(B2)</f>
        <v/>
      </c>
      <c r="F2" s="3">
        <f>LN(C2)</f>
        <v/>
      </c>
      <c r="G2" s="3">
        <f>LN(D2)</f>
        <v/>
      </c>
      <c r="H2" s="3">
        <f>E2-AVERAGE(E$2:E$93)</f>
        <v/>
      </c>
      <c r="I2" s="3">
        <f>F2-AVERAGE(F$2:F$93)</f>
        <v/>
      </c>
      <c r="J2" s="3">
        <f>G2-AVERAGE(G$2:G$93)</f>
        <v/>
      </c>
      <c r="K2" s="3">
        <f>H2-(I2+J2)</f>
        <v/>
      </c>
      <c r="L2" s="3">
        <f>EXP(H2)-1</f>
        <v/>
      </c>
      <c r="M2" s="3">
        <f>EXP(I2)-1</f>
        <v/>
      </c>
      <c r="N2" s="3">
        <f>EXP(J2)-1</f>
        <v/>
      </c>
    </row>
    <row r="3">
      <c r="A3" s="3">
        <f>Dados!B3</f>
        <v/>
      </c>
      <c r="B3" s="3">
        <f>Dados!E3/Dados!D3</f>
        <v/>
      </c>
      <c r="C3" s="3">
        <f>Dados!F3/Dados!D3</f>
        <v/>
      </c>
      <c r="D3" s="3">
        <f>Dados!E3/Dados!F3</f>
        <v/>
      </c>
      <c r="E3" s="3">
        <f>LN(B3)</f>
        <v/>
      </c>
      <c r="F3" s="3">
        <f>LN(C3)</f>
        <v/>
      </c>
      <c r="G3" s="3">
        <f>LN(D3)</f>
        <v/>
      </c>
      <c r="H3" s="3">
        <f>E3-AVERAGE(E$2:E$93)</f>
        <v/>
      </c>
      <c r="I3" s="3">
        <f>F3-AVERAGE(F$2:F$93)</f>
        <v/>
      </c>
      <c r="J3" s="3">
        <f>G3-AVERAGE(G$2:G$93)</f>
        <v/>
      </c>
      <c r="K3" s="3">
        <f>H3-(I3+J3)</f>
        <v/>
      </c>
      <c r="L3" s="3">
        <f>EXP(H3)-1</f>
        <v/>
      </c>
      <c r="M3" s="3">
        <f>EXP(I3)-1</f>
        <v/>
      </c>
      <c r="N3" s="3">
        <f>EXP(J3)-1</f>
        <v/>
      </c>
    </row>
    <row r="4">
      <c r="A4" s="3">
        <f>Dados!B4</f>
        <v/>
      </c>
      <c r="B4" s="3">
        <f>Dados!E4/Dados!D4</f>
        <v/>
      </c>
      <c r="C4" s="3">
        <f>Dados!F4/Dados!D4</f>
        <v/>
      </c>
      <c r="D4" s="3">
        <f>Dados!E4/Dados!F4</f>
        <v/>
      </c>
      <c r="E4" s="3">
        <f>LN(B4)</f>
        <v/>
      </c>
      <c r="F4" s="3">
        <f>LN(C4)</f>
        <v/>
      </c>
      <c r="G4" s="3">
        <f>LN(D4)</f>
        <v/>
      </c>
      <c r="H4" s="3">
        <f>E4-AVERAGE(E$2:E$93)</f>
        <v/>
      </c>
      <c r="I4" s="3">
        <f>F4-AVERAGE(F$2:F$93)</f>
        <v/>
      </c>
      <c r="J4" s="3">
        <f>G4-AVERAGE(G$2:G$93)</f>
        <v/>
      </c>
      <c r="K4" s="3">
        <f>H4-(I4+J4)</f>
        <v/>
      </c>
      <c r="L4" s="3">
        <f>EXP(H4)-1</f>
        <v/>
      </c>
      <c r="M4" s="3">
        <f>EXP(I4)-1</f>
        <v/>
      </c>
      <c r="N4" s="3">
        <f>EXP(J4)-1</f>
        <v/>
      </c>
    </row>
    <row r="5">
      <c r="A5" s="3">
        <f>Dados!B5</f>
        <v/>
      </c>
      <c r="B5" s="3">
        <f>Dados!E5/Dados!D5</f>
        <v/>
      </c>
      <c r="C5" s="3">
        <f>Dados!F5/Dados!D5</f>
        <v/>
      </c>
      <c r="D5" s="3">
        <f>Dados!E5/Dados!F5</f>
        <v/>
      </c>
      <c r="E5" s="3">
        <f>LN(B5)</f>
        <v/>
      </c>
      <c r="F5" s="3">
        <f>LN(C5)</f>
        <v/>
      </c>
      <c r="G5" s="3">
        <f>LN(D5)</f>
        <v/>
      </c>
      <c r="H5" s="3">
        <f>E5-AVERAGE(E$2:E$93)</f>
        <v/>
      </c>
      <c r="I5" s="3">
        <f>F5-AVERAGE(F$2:F$93)</f>
        <v/>
      </c>
      <c r="J5" s="3">
        <f>G5-AVERAGE(G$2:G$93)</f>
        <v/>
      </c>
      <c r="K5" s="3">
        <f>H5-(I5+J5)</f>
        <v/>
      </c>
      <c r="L5" s="3">
        <f>EXP(H5)-1</f>
        <v/>
      </c>
      <c r="M5" s="3">
        <f>EXP(I5)-1</f>
        <v/>
      </c>
      <c r="N5" s="3">
        <f>EXP(J5)-1</f>
        <v/>
      </c>
    </row>
    <row r="6">
      <c r="A6" s="3">
        <f>Dados!B6</f>
        <v/>
      </c>
      <c r="B6" s="3">
        <f>Dados!E6/Dados!D6</f>
        <v/>
      </c>
      <c r="C6" s="3">
        <f>Dados!F6/Dados!D6</f>
        <v/>
      </c>
      <c r="D6" s="3">
        <f>Dados!E6/Dados!F6</f>
        <v/>
      </c>
      <c r="E6" s="3">
        <f>LN(B6)</f>
        <v/>
      </c>
      <c r="F6" s="3">
        <f>LN(C6)</f>
        <v/>
      </c>
      <c r="G6" s="3">
        <f>LN(D6)</f>
        <v/>
      </c>
      <c r="H6" s="3">
        <f>E6-AVERAGE(E$2:E$93)</f>
        <v/>
      </c>
      <c r="I6" s="3">
        <f>F6-AVERAGE(F$2:F$93)</f>
        <v/>
      </c>
      <c r="J6" s="3">
        <f>G6-AVERAGE(G$2:G$93)</f>
        <v/>
      </c>
      <c r="K6" s="3">
        <f>H6-(I6+J6)</f>
        <v/>
      </c>
      <c r="L6" s="3">
        <f>EXP(H6)-1</f>
        <v/>
      </c>
      <c r="M6" s="3">
        <f>EXP(I6)-1</f>
        <v/>
      </c>
      <c r="N6" s="3">
        <f>EXP(J6)-1</f>
        <v/>
      </c>
    </row>
    <row r="7">
      <c r="A7" s="3">
        <f>Dados!B7</f>
        <v/>
      </c>
      <c r="B7" s="3">
        <f>Dados!E7/Dados!D7</f>
        <v/>
      </c>
      <c r="C7" s="3">
        <f>Dados!F7/Dados!D7</f>
        <v/>
      </c>
      <c r="D7" s="3">
        <f>Dados!E7/Dados!F7</f>
        <v/>
      </c>
      <c r="E7" s="3">
        <f>LN(B7)</f>
        <v/>
      </c>
      <c r="F7" s="3">
        <f>LN(C7)</f>
        <v/>
      </c>
      <c r="G7" s="3">
        <f>LN(D7)</f>
        <v/>
      </c>
      <c r="H7" s="3">
        <f>E7-AVERAGE(E$2:E$93)</f>
        <v/>
      </c>
      <c r="I7" s="3">
        <f>F7-AVERAGE(F$2:F$93)</f>
        <v/>
      </c>
      <c r="J7" s="3">
        <f>G7-AVERAGE(G$2:G$93)</f>
        <v/>
      </c>
      <c r="K7" s="3">
        <f>H7-(I7+J7)</f>
        <v/>
      </c>
      <c r="L7" s="3">
        <f>EXP(H7)-1</f>
        <v/>
      </c>
      <c r="M7" s="3">
        <f>EXP(I7)-1</f>
        <v/>
      </c>
      <c r="N7" s="3">
        <f>EXP(J7)-1</f>
        <v/>
      </c>
    </row>
    <row r="8">
      <c r="A8" s="3">
        <f>Dados!B8</f>
        <v/>
      </c>
      <c r="B8" s="3">
        <f>Dados!E8/Dados!D8</f>
        <v/>
      </c>
      <c r="C8" s="3">
        <f>Dados!F8/Dados!D8</f>
        <v/>
      </c>
      <c r="D8" s="3">
        <f>Dados!E8/Dados!F8</f>
        <v/>
      </c>
      <c r="E8" s="3">
        <f>LN(B8)</f>
        <v/>
      </c>
      <c r="F8" s="3">
        <f>LN(C8)</f>
        <v/>
      </c>
      <c r="G8" s="3">
        <f>LN(D8)</f>
        <v/>
      </c>
      <c r="H8" s="3">
        <f>E8-AVERAGE(E$2:E$93)</f>
        <v/>
      </c>
      <c r="I8" s="3">
        <f>F8-AVERAGE(F$2:F$93)</f>
        <v/>
      </c>
      <c r="J8" s="3">
        <f>G8-AVERAGE(G$2:G$93)</f>
        <v/>
      </c>
      <c r="K8" s="3">
        <f>H8-(I8+J8)</f>
        <v/>
      </c>
      <c r="L8" s="3">
        <f>EXP(H8)-1</f>
        <v/>
      </c>
      <c r="M8" s="3">
        <f>EXP(I8)-1</f>
        <v/>
      </c>
      <c r="N8" s="3">
        <f>EXP(J8)-1</f>
        <v/>
      </c>
    </row>
    <row r="9">
      <c r="A9" s="3">
        <f>Dados!B9</f>
        <v/>
      </c>
      <c r="B9" s="3">
        <f>Dados!E9/Dados!D9</f>
        <v/>
      </c>
      <c r="C9" s="3">
        <f>Dados!F9/Dados!D9</f>
        <v/>
      </c>
      <c r="D9" s="3">
        <f>Dados!E9/Dados!F9</f>
        <v/>
      </c>
      <c r="E9" s="3">
        <f>LN(B9)</f>
        <v/>
      </c>
      <c r="F9" s="3">
        <f>LN(C9)</f>
        <v/>
      </c>
      <c r="G9" s="3">
        <f>LN(D9)</f>
        <v/>
      </c>
      <c r="H9" s="3">
        <f>E9-AVERAGE(E$2:E$93)</f>
        <v/>
      </c>
      <c r="I9" s="3">
        <f>F9-AVERAGE(F$2:F$93)</f>
        <v/>
      </c>
      <c r="J9" s="3">
        <f>G9-AVERAGE(G$2:G$93)</f>
        <v/>
      </c>
      <c r="K9" s="3">
        <f>H9-(I9+J9)</f>
        <v/>
      </c>
      <c r="L9" s="3">
        <f>EXP(H9)-1</f>
        <v/>
      </c>
      <c r="M9" s="3">
        <f>EXP(I9)-1</f>
        <v/>
      </c>
      <c r="N9" s="3">
        <f>EXP(J9)-1</f>
        <v/>
      </c>
    </row>
    <row r="10">
      <c r="A10" s="3">
        <f>Dados!B10</f>
        <v/>
      </c>
      <c r="B10" s="3">
        <f>Dados!E10/Dados!D10</f>
        <v/>
      </c>
      <c r="C10" s="3">
        <f>Dados!F10/Dados!D10</f>
        <v/>
      </c>
      <c r="D10" s="3">
        <f>Dados!E10/Dados!F10</f>
        <v/>
      </c>
      <c r="E10" s="3">
        <f>LN(B10)</f>
        <v/>
      </c>
      <c r="F10" s="3">
        <f>LN(C10)</f>
        <v/>
      </c>
      <c r="G10" s="3">
        <f>LN(D10)</f>
        <v/>
      </c>
      <c r="H10" s="3">
        <f>E10-AVERAGE(E$2:E$93)</f>
        <v/>
      </c>
      <c r="I10" s="3">
        <f>F10-AVERAGE(F$2:F$93)</f>
        <v/>
      </c>
      <c r="J10" s="3">
        <f>G10-AVERAGE(G$2:G$93)</f>
        <v/>
      </c>
      <c r="K10" s="3">
        <f>H10-(I10+J10)</f>
        <v/>
      </c>
      <c r="L10" s="3">
        <f>EXP(H10)-1</f>
        <v/>
      </c>
      <c r="M10" s="3">
        <f>EXP(I10)-1</f>
        <v/>
      </c>
      <c r="N10" s="3">
        <f>EXP(J10)-1</f>
        <v/>
      </c>
    </row>
    <row r="11">
      <c r="A11" s="3">
        <f>Dados!B11</f>
        <v/>
      </c>
      <c r="B11" s="3">
        <f>Dados!E11/Dados!D11</f>
        <v/>
      </c>
      <c r="C11" s="3">
        <f>Dados!F11/Dados!D11</f>
        <v/>
      </c>
      <c r="D11" s="3">
        <f>Dados!E11/Dados!F11</f>
        <v/>
      </c>
      <c r="E11" s="3">
        <f>LN(B11)</f>
        <v/>
      </c>
      <c r="F11" s="3">
        <f>LN(C11)</f>
        <v/>
      </c>
      <c r="G11" s="3">
        <f>LN(D11)</f>
        <v/>
      </c>
      <c r="H11" s="3">
        <f>E11-AVERAGE(E$2:E$93)</f>
        <v/>
      </c>
      <c r="I11" s="3">
        <f>F11-AVERAGE(F$2:F$93)</f>
        <v/>
      </c>
      <c r="J11" s="3">
        <f>G11-AVERAGE(G$2:G$93)</f>
        <v/>
      </c>
      <c r="K11" s="3">
        <f>H11-(I11+J11)</f>
        <v/>
      </c>
      <c r="L11" s="3">
        <f>EXP(H11)-1</f>
        <v/>
      </c>
      <c r="M11" s="3">
        <f>EXP(I11)-1</f>
        <v/>
      </c>
      <c r="N11" s="3">
        <f>EXP(J11)-1</f>
        <v/>
      </c>
    </row>
    <row r="12">
      <c r="A12" s="3">
        <f>Dados!B12</f>
        <v/>
      </c>
      <c r="B12" s="3">
        <f>Dados!E12/Dados!D12</f>
        <v/>
      </c>
      <c r="C12" s="3">
        <f>Dados!F12/Dados!D12</f>
        <v/>
      </c>
      <c r="D12" s="3">
        <f>Dados!E12/Dados!F12</f>
        <v/>
      </c>
      <c r="E12" s="3">
        <f>LN(B12)</f>
        <v/>
      </c>
      <c r="F12" s="3">
        <f>LN(C12)</f>
        <v/>
      </c>
      <c r="G12" s="3">
        <f>LN(D12)</f>
        <v/>
      </c>
      <c r="H12" s="3">
        <f>E12-AVERAGE(E$2:E$93)</f>
        <v/>
      </c>
      <c r="I12" s="3">
        <f>F12-AVERAGE(F$2:F$93)</f>
        <v/>
      </c>
      <c r="J12" s="3">
        <f>G12-AVERAGE(G$2:G$93)</f>
        <v/>
      </c>
      <c r="K12" s="3">
        <f>H12-(I12+J12)</f>
        <v/>
      </c>
      <c r="L12" s="3">
        <f>EXP(H12)-1</f>
        <v/>
      </c>
      <c r="M12" s="3">
        <f>EXP(I12)-1</f>
        <v/>
      </c>
      <c r="N12" s="3">
        <f>EXP(J12)-1</f>
        <v/>
      </c>
    </row>
    <row r="13">
      <c r="A13" s="3">
        <f>Dados!B13</f>
        <v/>
      </c>
      <c r="B13" s="3">
        <f>Dados!E13/Dados!D13</f>
        <v/>
      </c>
      <c r="C13" s="3">
        <f>Dados!F13/Dados!D13</f>
        <v/>
      </c>
      <c r="D13" s="3">
        <f>Dados!E13/Dados!F13</f>
        <v/>
      </c>
      <c r="E13" s="3">
        <f>LN(B13)</f>
        <v/>
      </c>
      <c r="F13" s="3">
        <f>LN(C13)</f>
        <v/>
      </c>
      <c r="G13" s="3">
        <f>LN(D13)</f>
        <v/>
      </c>
      <c r="H13" s="3">
        <f>E13-AVERAGE(E$2:E$93)</f>
        <v/>
      </c>
      <c r="I13" s="3">
        <f>F13-AVERAGE(F$2:F$93)</f>
        <v/>
      </c>
      <c r="J13" s="3">
        <f>G13-AVERAGE(G$2:G$93)</f>
        <v/>
      </c>
      <c r="K13" s="3">
        <f>H13-(I13+J13)</f>
        <v/>
      </c>
      <c r="L13" s="3">
        <f>EXP(H13)-1</f>
        <v/>
      </c>
      <c r="M13" s="3">
        <f>EXP(I13)-1</f>
        <v/>
      </c>
      <c r="N13" s="3">
        <f>EXP(J13)-1</f>
        <v/>
      </c>
    </row>
    <row r="14">
      <c r="A14" s="3">
        <f>Dados!B14</f>
        <v/>
      </c>
      <c r="B14" s="3">
        <f>Dados!E14/Dados!D14</f>
        <v/>
      </c>
      <c r="C14" s="3">
        <f>Dados!F14/Dados!D14</f>
        <v/>
      </c>
      <c r="D14" s="3">
        <f>Dados!E14/Dados!F14</f>
        <v/>
      </c>
      <c r="E14" s="3">
        <f>LN(B14)</f>
        <v/>
      </c>
      <c r="F14" s="3">
        <f>LN(C14)</f>
        <v/>
      </c>
      <c r="G14" s="3">
        <f>LN(D14)</f>
        <v/>
      </c>
      <c r="H14" s="3">
        <f>E14-AVERAGE(E$2:E$93)</f>
        <v/>
      </c>
      <c r="I14" s="3">
        <f>F14-AVERAGE(F$2:F$93)</f>
        <v/>
      </c>
      <c r="J14" s="3">
        <f>G14-AVERAGE(G$2:G$93)</f>
        <v/>
      </c>
      <c r="K14" s="3">
        <f>H14-(I14+J14)</f>
        <v/>
      </c>
      <c r="L14" s="3">
        <f>EXP(H14)-1</f>
        <v/>
      </c>
      <c r="M14" s="3">
        <f>EXP(I14)-1</f>
        <v/>
      </c>
      <c r="N14" s="3">
        <f>EXP(J14)-1</f>
        <v/>
      </c>
    </row>
    <row r="15">
      <c r="A15" s="3">
        <f>Dados!B15</f>
        <v/>
      </c>
      <c r="B15" s="3">
        <f>Dados!E15/Dados!D15</f>
        <v/>
      </c>
      <c r="C15" s="3">
        <f>Dados!F15/Dados!D15</f>
        <v/>
      </c>
      <c r="D15" s="3">
        <f>Dados!E15/Dados!F15</f>
        <v/>
      </c>
      <c r="E15" s="3">
        <f>LN(B15)</f>
        <v/>
      </c>
      <c r="F15" s="3">
        <f>LN(C15)</f>
        <v/>
      </c>
      <c r="G15" s="3">
        <f>LN(D15)</f>
        <v/>
      </c>
      <c r="H15" s="3">
        <f>E15-AVERAGE(E$2:E$93)</f>
        <v/>
      </c>
      <c r="I15" s="3">
        <f>F15-AVERAGE(F$2:F$93)</f>
        <v/>
      </c>
      <c r="J15" s="3">
        <f>G15-AVERAGE(G$2:G$93)</f>
        <v/>
      </c>
      <c r="K15" s="3">
        <f>H15-(I15+J15)</f>
        <v/>
      </c>
      <c r="L15" s="3">
        <f>EXP(H15)-1</f>
        <v/>
      </c>
      <c r="M15" s="3">
        <f>EXP(I15)-1</f>
        <v/>
      </c>
      <c r="N15" s="3">
        <f>EXP(J15)-1</f>
        <v/>
      </c>
    </row>
    <row r="16">
      <c r="A16" s="3">
        <f>Dados!B16</f>
        <v/>
      </c>
      <c r="B16" s="3">
        <f>Dados!E16/Dados!D16</f>
        <v/>
      </c>
      <c r="C16" s="3">
        <f>Dados!F16/Dados!D16</f>
        <v/>
      </c>
      <c r="D16" s="3">
        <f>Dados!E16/Dados!F16</f>
        <v/>
      </c>
      <c r="E16" s="3">
        <f>LN(B16)</f>
        <v/>
      </c>
      <c r="F16" s="3">
        <f>LN(C16)</f>
        <v/>
      </c>
      <c r="G16" s="3">
        <f>LN(D16)</f>
        <v/>
      </c>
      <c r="H16" s="3">
        <f>E16-AVERAGE(E$2:E$93)</f>
        <v/>
      </c>
      <c r="I16" s="3">
        <f>F16-AVERAGE(F$2:F$93)</f>
        <v/>
      </c>
      <c r="J16" s="3">
        <f>G16-AVERAGE(G$2:G$93)</f>
        <v/>
      </c>
      <c r="K16" s="3">
        <f>H16-(I16+J16)</f>
        <v/>
      </c>
      <c r="L16" s="3">
        <f>EXP(H16)-1</f>
        <v/>
      </c>
      <c r="M16" s="3">
        <f>EXP(I16)-1</f>
        <v/>
      </c>
      <c r="N16" s="3">
        <f>EXP(J16)-1</f>
        <v/>
      </c>
    </row>
    <row r="17">
      <c r="A17" s="3">
        <f>Dados!B17</f>
        <v/>
      </c>
      <c r="B17" s="3">
        <f>Dados!E17/Dados!D17</f>
        <v/>
      </c>
      <c r="C17" s="3">
        <f>Dados!F17/Dados!D17</f>
        <v/>
      </c>
      <c r="D17" s="3">
        <f>Dados!E17/Dados!F17</f>
        <v/>
      </c>
      <c r="E17" s="3">
        <f>LN(B17)</f>
        <v/>
      </c>
      <c r="F17" s="3">
        <f>LN(C17)</f>
        <v/>
      </c>
      <c r="G17" s="3">
        <f>LN(D17)</f>
        <v/>
      </c>
      <c r="H17" s="3">
        <f>E17-AVERAGE(E$2:E$93)</f>
        <v/>
      </c>
      <c r="I17" s="3">
        <f>F17-AVERAGE(F$2:F$93)</f>
        <v/>
      </c>
      <c r="J17" s="3">
        <f>G17-AVERAGE(G$2:G$93)</f>
        <v/>
      </c>
      <c r="K17" s="3">
        <f>H17-(I17+J17)</f>
        <v/>
      </c>
      <c r="L17" s="3">
        <f>EXP(H17)-1</f>
        <v/>
      </c>
      <c r="M17" s="3">
        <f>EXP(I17)-1</f>
        <v/>
      </c>
      <c r="N17" s="3">
        <f>EXP(J17)-1</f>
        <v/>
      </c>
    </row>
    <row r="18">
      <c r="A18" s="3">
        <f>Dados!B18</f>
        <v/>
      </c>
      <c r="B18" s="3">
        <f>Dados!E18/Dados!D18</f>
        <v/>
      </c>
      <c r="C18" s="3">
        <f>Dados!F18/Dados!D18</f>
        <v/>
      </c>
      <c r="D18" s="3">
        <f>Dados!E18/Dados!F18</f>
        <v/>
      </c>
      <c r="E18" s="3">
        <f>LN(B18)</f>
        <v/>
      </c>
      <c r="F18" s="3">
        <f>LN(C18)</f>
        <v/>
      </c>
      <c r="G18" s="3">
        <f>LN(D18)</f>
        <v/>
      </c>
      <c r="H18" s="3">
        <f>E18-AVERAGE(E$2:E$93)</f>
        <v/>
      </c>
      <c r="I18" s="3">
        <f>F18-AVERAGE(F$2:F$93)</f>
        <v/>
      </c>
      <c r="J18" s="3">
        <f>G18-AVERAGE(G$2:G$93)</f>
        <v/>
      </c>
      <c r="K18" s="3">
        <f>H18-(I18+J18)</f>
        <v/>
      </c>
      <c r="L18" s="3">
        <f>EXP(H18)-1</f>
        <v/>
      </c>
      <c r="M18" s="3">
        <f>EXP(I18)-1</f>
        <v/>
      </c>
      <c r="N18" s="3">
        <f>EXP(J18)-1</f>
        <v/>
      </c>
    </row>
    <row r="19">
      <c r="A19" s="3">
        <f>Dados!B19</f>
        <v/>
      </c>
      <c r="B19" s="3">
        <f>Dados!E19/Dados!D19</f>
        <v/>
      </c>
      <c r="C19" s="3">
        <f>Dados!F19/Dados!D19</f>
        <v/>
      </c>
      <c r="D19" s="3">
        <f>Dados!E19/Dados!F19</f>
        <v/>
      </c>
      <c r="E19" s="3">
        <f>LN(B19)</f>
        <v/>
      </c>
      <c r="F19" s="3">
        <f>LN(C19)</f>
        <v/>
      </c>
      <c r="G19" s="3">
        <f>LN(D19)</f>
        <v/>
      </c>
      <c r="H19" s="3">
        <f>E19-AVERAGE(E$2:E$93)</f>
        <v/>
      </c>
      <c r="I19" s="3">
        <f>F19-AVERAGE(F$2:F$93)</f>
        <v/>
      </c>
      <c r="J19" s="3">
        <f>G19-AVERAGE(G$2:G$93)</f>
        <v/>
      </c>
      <c r="K19" s="3">
        <f>H19-(I19+J19)</f>
        <v/>
      </c>
      <c r="L19" s="3">
        <f>EXP(H19)-1</f>
        <v/>
      </c>
      <c r="M19" s="3">
        <f>EXP(I19)-1</f>
        <v/>
      </c>
      <c r="N19" s="3">
        <f>EXP(J19)-1</f>
        <v/>
      </c>
    </row>
    <row r="20">
      <c r="A20" s="3">
        <f>Dados!B20</f>
        <v/>
      </c>
      <c r="B20" s="3">
        <f>Dados!E20/Dados!D20</f>
        <v/>
      </c>
      <c r="C20" s="3">
        <f>Dados!F20/Dados!D20</f>
        <v/>
      </c>
      <c r="D20" s="3">
        <f>Dados!E20/Dados!F20</f>
        <v/>
      </c>
      <c r="E20" s="3">
        <f>LN(B20)</f>
        <v/>
      </c>
      <c r="F20" s="3">
        <f>LN(C20)</f>
        <v/>
      </c>
      <c r="G20" s="3">
        <f>LN(D20)</f>
        <v/>
      </c>
      <c r="H20" s="3">
        <f>E20-AVERAGE(E$2:E$93)</f>
        <v/>
      </c>
      <c r="I20" s="3">
        <f>F20-AVERAGE(F$2:F$93)</f>
        <v/>
      </c>
      <c r="J20" s="3">
        <f>G20-AVERAGE(G$2:G$93)</f>
        <v/>
      </c>
      <c r="K20" s="3">
        <f>H20-(I20+J20)</f>
        <v/>
      </c>
      <c r="L20" s="3">
        <f>EXP(H20)-1</f>
        <v/>
      </c>
      <c r="M20" s="3">
        <f>EXP(I20)-1</f>
        <v/>
      </c>
      <c r="N20" s="3">
        <f>EXP(J20)-1</f>
        <v/>
      </c>
    </row>
    <row r="21">
      <c r="A21" s="3">
        <f>Dados!B21</f>
        <v/>
      </c>
      <c r="B21" s="3">
        <f>Dados!E21/Dados!D21</f>
        <v/>
      </c>
      <c r="C21" s="3">
        <f>Dados!F21/Dados!D21</f>
        <v/>
      </c>
      <c r="D21" s="3">
        <f>Dados!E21/Dados!F21</f>
        <v/>
      </c>
      <c r="E21" s="3">
        <f>LN(B21)</f>
        <v/>
      </c>
      <c r="F21" s="3">
        <f>LN(C21)</f>
        <v/>
      </c>
      <c r="G21" s="3">
        <f>LN(D21)</f>
        <v/>
      </c>
      <c r="H21" s="3">
        <f>E21-AVERAGE(E$2:E$93)</f>
        <v/>
      </c>
      <c r="I21" s="3">
        <f>F21-AVERAGE(F$2:F$93)</f>
        <v/>
      </c>
      <c r="J21" s="3">
        <f>G21-AVERAGE(G$2:G$93)</f>
        <v/>
      </c>
      <c r="K21" s="3">
        <f>H21-(I21+J21)</f>
        <v/>
      </c>
      <c r="L21" s="3">
        <f>EXP(H21)-1</f>
        <v/>
      </c>
      <c r="M21" s="3">
        <f>EXP(I21)-1</f>
        <v/>
      </c>
      <c r="N21" s="3">
        <f>EXP(J21)-1</f>
        <v/>
      </c>
    </row>
    <row r="22">
      <c r="A22" s="3">
        <f>Dados!B22</f>
        <v/>
      </c>
      <c r="B22" s="3">
        <f>Dados!E22/Dados!D22</f>
        <v/>
      </c>
      <c r="C22" s="3">
        <f>Dados!F22/Dados!D22</f>
        <v/>
      </c>
      <c r="D22" s="3">
        <f>Dados!E22/Dados!F22</f>
        <v/>
      </c>
      <c r="E22" s="3">
        <f>LN(B22)</f>
        <v/>
      </c>
      <c r="F22" s="3">
        <f>LN(C22)</f>
        <v/>
      </c>
      <c r="G22" s="3">
        <f>LN(D22)</f>
        <v/>
      </c>
      <c r="H22" s="3">
        <f>E22-AVERAGE(E$2:E$93)</f>
        <v/>
      </c>
      <c r="I22" s="3">
        <f>F22-AVERAGE(F$2:F$93)</f>
        <v/>
      </c>
      <c r="J22" s="3">
        <f>G22-AVERAGE(G$2:G$93)</f>
        <v/>
      </c>
      <c r="K22" s="3">
        <f>H22-(I22+J22)</f>
        <v/>
      </c>
      <c r="L22" s="3">
        <f>EXP(H22)-1</f>
        <v/>
      </c>
      <c r="M22" s="3">
        <f>EXP(I22)-1</f>
        <v/>
      </c>
      <c r="N22" s="3">
        <f>EXP(J22)-1</f>
        <v/>
      </c>
    </row>
    <row r="23">
      <c r="A23" s="3">
        <f>Dados!B23</f>
        <v/>
      </c>
      <c r="B23" s="3">
        <f>Dados!E23/Dados!D23</f>
        <v/>
      </c>
      <c r="C23" s="3">
        <f>Dados!F23/Dados!D23</f>
        <v/>
      </c>
      <c r="D23" s="3">
        <f>Dados!E23/Dados!F23</f>
        <v/>
      </c>
      <c r="E23" s="3">
        <f>LN(B23)</f>
        <v/>
      </c>
      <c r="F23" s="3">
        <f>LN(C23)</f>
        <v/>
      </c>
      <c r="G23" s="3">
        <f>LN(D23)</f>
        <v/>
      </c>
      <c r="H23" s="3">
        <f>E23-AVERAGE(E$2:E$93)</f>
        <v/>
      </c>
      <c r="I23" s="3">
        <f>F23-AVERAGE(F$2:F$93)</f>
        <v/>
      </c>
      <c r="J23" s="3">
        <f>G23-AVERAGE(G$2:G$93)</f>
        <v/>
      </c>
      <c r="K23" s="3">
        <f>H23-(I23+J23)</f>
        <v/>
      </c>
      <c r="L23" s="3">
        <f>EXP(H23)-1</f>
        <v/>
      </c>
      <c r="M23" s="3">
        <f>EXP(I23)-1</f>
        <v/>
      </c>
      <c r="N23" s="3">
        <f>EXP(J23)-1</f>
        <v/>
      </c>
    </row>
    <row r="24">
      <c r="A24" s="3">
        <f>Dados!B24</f>
        <v/>
      </c>
      <c r="B24" s="3">
        <f>Dados!E24/Dados!D24</f>
        <v/>
      </c>
      <c r="C24" s="3">
        <f>Dados!F24/Dados!D24</f>
        <v/>
      </c>
      <c r="D24" s="3">
        <f>Dados!E24/Dados!F24</f>
        <v/>
      </c>
      <c r="E24" s="3">
        <f>LN(B24)</f>
        <v/>
      </c>
      <c r="F24" s="3">
        <f>LN(C24)</f>
        <v/>
      </c>
      <c r="G24" s="3">
        <f>LN(D24)</f>
        <v/>
      </c>
      <c r="H24" s="3">
        <f>E24-AVERAGE(E$2:E$93)</f>
        <v/>
      </c>
      <c r="I24" s="3">
        <f>F24-AVERAGE(F$2:F$93)</f>
        <v/>
      </c>
      <c r="J24" s="3">
        <f>G24-AVERAGE(G$2:G$93)</f>
        <v/>
      </c>
      <c r="K24" s="3">
        <f>H24-(I24+J24)</f>
        <v/>
      </c>
      <c r="L24" s="3">
        <f>EXP(H24)-1</f>
        <v/>
      </c>
      <c r="M24" s="3">
        <f>EXP(I24)-1</f>
        <v/>
      </c>
      <c r="N24" s="3">
        <f>EXP(J24)-1</f>
        <v/>
      </c>
    </row>
    <row r="25">
      <c r="A25" s="3">
        <f>Dados!B25</f>
        <v/>
      </c>
      <c r="B25" s="3">
        <f>Dados!E25/Dados!D25</f>
        <v/>
      </c>
      <c r="C25" s="3">
        <f>Dados!F25/Dados!D25</f>
        <v/>
      </c>
      <c r="D25" s="3">
        <f>Dados!E25/Dados!F25</f>
        <v/>
      </c>
      <c r="E25" s="3">
        <f>LN(B25)</f>
        <v/>
      </c>
      <c r="F25" s="3">
        <f>LN(C25)</f>
        <v/>
      </c>
      <c r="G25" s="3">
        <f>LN(D25)</f>
        <v/>
      </c>
      <c r="H25" s="3">
        <f>E25-AVERAGE(E$2:E$93)</f>
        <v/>
      </c>
      <c r="I25" s="3">
        <f>F25-AVERAGE(F$2:F$93)</f>
        <v/>
      </c>
      <c r="J25" s="3">
        <f>G25-AVERAGE(G$2:G$93)</f>
        <v/>
      </c>
      <c r="K25" s="3">
        <f>H25-(I25+J25)</f>
        <v/>
      </c>
      <c r="L25" s="3">
        <f>EXP(H25)-1</f>
        <v/>
      </c>
      <c r="M25" s="3">
        <f>EXP(I25)-1</f>
        <v/>
      </c>
      <c r="N25" s="3">
        <f>EXP(J25)-1</f>
        <v/>
      </c>
    </row>
    <row r="26">
      <c r="A26" s="3">
        <f>Dados!B26</f>
        <v/>
      </c>
      <c r="B26" s="3">
        <f>Dados!E26/Dados!D26</f>
        <v/>
      </c>
      <c r="C26" s="3">
        <f>Dados!F26/Dados!D26</f>
        <v/>
      </c>
      <c r="D26" s="3">
        <f>Dados!E26/Dados!F26</f>
        <v/>
      </c>
      <c r="E26" s="3">
        <f>LN(B26)</f>
        <v/>
      </c>
      <c r="F26" s="3">
        <f>LN(C26)</f>
        <v/>
      </c>
      <c r="G26" s="3">
        <f>LN(D26)</f>
        <v/>
      </c>
      <c r="H26" s="3">
        <f>E26-AVERAGE(E$2:E$93)</f>
        <v/>
      </c>
      <c r="I26" s="3">
        <f>F26-AVERAGE(F$2:F$93)</f>
        <v/>
      </c>
      <c r="J26" s="3">
        <f>G26-AVERAGE(G$2:G$93)</f>
        <v/>
      </c>
      <c r="K26" s="3">
        <f>H26-(I26+J26)</f>
        <v/>
      </c>
      <c r="L26" s="3">
        <f>EXP(H26)-1</f>
        <v/>
      </c>
      <c r="M26" s="3">
        <f>EXP(I26)-1</f>
        <v/>
      </c>
      <c r="N26" s="3">
        <f>EXP(J26)-1</f>
        <v/>
      </c>
    </row>
    <row r="27">
      <c r="A27" s="3">
        <f>Dados!B27</f>
        <v/>
      </c>
      <c r="B27" s="3">
        <f>Dados!E27/Dados!D27</f>
        <v/>
      </c>
      <c r="C27" s="3">
        <f>Dados!F27/Dados!D27</f>
        <v/>
      </c>
      <c r="D27" s="3">
        <f>Dados!E27/Dados!F27</f>
        <v/>
      </c>
      <c r="E27" s="3">
        <f>LN(B27)</f>
        <v/>
      </c>
      <c r="F27" s="3">
        <f>LN(C27)</f>
        <v/>
      </c>
      <c r="G27" s="3">
        <f>LN(D27)</f>
        <v/>
      </c>
      <c r="H27" s="3">
        <f>E27-AVERAGE(E$2:E$93)</f>
        <v/>
      </c>
      <c r="I27" s="3">
        <f>F27-AVERAGE(F$2:F$93)</f>
        <v/>
      </c>
      <c r="J27" s="3">
        <f>G27-AVERAGE(G$2:G$93)</f>
        <v/>
      </c>
      <c r="K27" s="3">
        <f>H27-(I27+J27)</f>
        <v/>
      </c>
      <c r="L27" s="3">
        <f>EXP(H27)-1</f>
        <v/>
      </c>
      <c r="M27" s="3">
        <f>EXP(I27)-1</f>
        <v/>
      </c>
      <c r="N27" s="3">
        <f>EXP(J27)-1</f>
        <v/>
      </c>
    </row>
    <row r="28">
      <c r="A28" s="3">
        <f>Dados!B28</f>
        <v/>
      </c>
      <c r="B28" s="3">
        <f>Dados!E28/Dados!D28</f>
        <v/>
      </c>
      <c r="C28" s="3">
        <f>Dados!F28/Dados!D28</f>
        <v/>
      </c>
      <c r="D28" s="3">
        <f>Dados!E28/Dados!F28</f>
        <v/>
      </c>
      <c r="E28" s="3">
        <f>LN(B28)</f>
        <v/>
      </c>
      <c r="F28" s="3">
        <f>LN(C28)</f>
        <v/>
      </c>
      <c r="G28" s="3">
        <f>LN(D28)</f>
        <v/>
      </c>
      <c r="H28" s="3">
        <f>E28-AVERAGE(E$2:E$93)</f>
        <v/>
      </c>
      <c r="I28" s="3">
        <f>F28-AVERAGE(F$2:F$93)</f>
        <v/>
      </c>
      <c r="J28" s="3">
        <f>G28-AVERAGE(G$2:G$93)</f>
        <v/>
      </c>
      <c r="K28" s="3">
        <f>H28-(I28+J28)</f>
        <v/>
      </c>
      <c r="L28" s="3">
        <f>EXP(H28)-1</f>
        <v/>
      </c>
      <c r="M28" s="3">
        <f>EXP(I28)-1</f>
        <v/>
      </c>
      <c r="N28" s="3">
        <f>EXP(J28)-1</f>
        <v/>
      </c>
    </row>
    <row r="29">
      <c r="A29" s="3">
        <f>Dados!B29</f>
        <v/>
      </c>
      <c r="B29" s="3">
        <f>Dados!E29/Dados!D29</f>
        <v/>
      </c>
      <c r="C29" s="3">
        <f>Dados!F29/Dados!D29</f>
        <v/>
      </c>
      <c r="D29" s="3">
        <f>Dados!E29/Dados!F29</f>
        <v/>
      </c>
      <c r="E29" s="3">
        <f>LN(B29)</f>
        <v/>
      </c>
      <c r="F29" s="3">
        <f>LN(C29)</f>
        <v/>
      </c>
      <c r="G29" s="3">
        <f>LN(D29)</f>
        <v/>
      </c>
      <c r="H29" s="3">
        <f>E29-AVERAGE(E$2:E$93)</f>
        <v/>
      </c>
      <c r="I29" s="3">
        <f>F29-AVERAGE(F$2:F$93)</f>
        <v/>
      </c>
      <c r="J29" s="3">
        <f>G29-AVERAGE(G$2:G$93)</f>
        <v/>
      </c>
      <c r="K29" s="3">
        <f>H29-(I29+J29)</f>
        <v/>
      </c>
      <c r="L29" s="3">
        <f>EXP(H29)-1</f>
        <v/>
      </c>
      <c r="M29" s="3">
        <f>EXP(I29)-1</f>
        <v/>
      </c>
      <c r="N29" s="3">
        <f>EXP(J29)-1</f>
        <v/>
      </c>
    </row>
    <row r="30">
      <c r="A30" s="3">
        <f>Dados!B30</f>
        <v/>
      </c>
      <c r="B30" s="3">
        <f>Dados!E30/Dados!D30</f>
        <v/>
      </c>
      <c r="C30" s="3">
        <f>Dados!F30/Dados!D30</f>
        <v/>
      </c>
      <c r="D30" s="3">
        <f>Dados!E30/Dados!F30</f>
        <v/>
      </c>
      <c r="E30" s="3">
        <f>LN(B30)</f>
        <v/>
      </c>
      <c r="F30" s="3">
        <f>LN(C30)</f>
        <v/>
      </c>
      <c r="G30" s="3">
        <f>LN(D30)</f>
        <v/>
      </c>
      <c r="H30" s="3">
        <f>E30-AVERAGE(E$2:E$93)</f>
        <v/>
      </c>
      <c r="I30" s="3">
        <f>F30-AVERAGE(F$2:F$93)</f>
        <v/>
      </c>
      <c r="J30" s="3">
        <f>G30-AVERAGE(G$2:G$93)</f>
        <v/>
      </c>
      <c r="K30" s="3">
        <f>H30-(I30+J30)</f>
        <v/>
      </c>
      <c r="L30" s="3">
        <f>EXP(H30)-1</f>
        <v/>
      </c>
      <c r="M30" s="3">
        <f>EXP(I30)-1</f>
        <v/>
      </c>
      <c r="N30" s="3">
        <f>EXP(J30)-1</f>
        <v/>
      </c>
    </row>
    <row r="31">
      <c r="A31" s="3">
        <f>Dados!B31</f>
        <v/>
      </c>
      <c r="B31" s="3">
        <f>Dados!E31/Dados!D31</f>
        <v/>
      </c>
      <c r="C31" s="3">
        <f>Dados!F31/Dados!D31</f>
        <v/>
      </c>
      <c r="D31" s="3">
        <f>Dados!E31/Dados!F31</f>
        <v/>
      </c>
      <c r="E31" s="3">
        <f>LN(B31)</f>
        <v/>
      </c>
      <c r="F31" s="3">
        <f>LN(C31)</f>
        <v/>
      </c>
      <c r="G31" s="3">
        <f>LN(D31)</f>
        <v/>
      </c>
      <c r="H31" s="3">
        <f>E31-AVERAGE(E$2:E$93)</f>
        <v/>
      </c>
      <c r="I31" s="3">
        <f>F31-AVERAGE(F$2:F$93)</f>
        <v/>
      </c>
      <c r="J31" s="3">
        <f>G31-AVERAGE(G$2:G$93)</f>
        <v/>
      </c>
      <c r="K31" s="3">
        <f>H31-(I31+J31)</f>
        <v/>
      </c>
      <c r="L31" s="3">
        <f>EXP(H31)-1</f>
        <v/>
      </c>
      <c r="M31" s="3">
        <f>EXP(I31)-1</f>
        <v/>
      </c>
      <c r="N31" s="3">
        <f>EXP(J31)-1</f>
        <v/>
      </c>
    </row>
    <row r="32">
      <c r="A32" s="3">
        <f>Dados!B32</f>
        <v/>
      </c>
      <c r="B32" s="3">
        <f>Dados!E32/Dados!D32</f>
        <v/>
      </c>
      <c r="C32" s="3">
        <f>Dados!F32/Dados!D32</f>
        <v/>
      </c>
      <c r="D32" s="3">
        <f>Dados!E32/Dados!F32</f>
        <v/>
      </c>
      <c r="E32" s="3">
        <f>LN(B32)</f>
        <v/>
      </c>
      <c r="F32" s="3">
        <f>LN(C32)</f>
        <v/>
      </c>
      <c r="G32" s="3">
        <f>LN(D32)</f>
        <v/>
      </c>
      <c r="H32" s="3">
        <f>E32-AVERAGE(E$2:E$93)</f>
        <v/>
      </c>
      <c r="I32" s="3">
        <f>F32-AVERAGE(F$2:F$93)</f>
        <v/>
      </c>
      <c r="J32" s="3">
        <f>G32-AVERAGE(G$2:G$93)</f>
        <v/>
      </c>
      <c r="K32" s="3">
        <f>H32-(I32+J32)</f>
        <v/>
      </c>
      <c r="L32" s="3">
        <f>EXP(H32)-1</f>
        <v/>
      </c>
      <c r="M32" s="3">
        <f>EXP(I32)-1</f>
        <v/>
      </c>
      <c r="N32" s="3">
        <f>EXP(J32)-1</f>
        <v/>
      </c>
    </row>
    <row r="33">
      <c r="A33" s="3">
        <f>Dados!B33</f>
        <v/>
      </c>
      <c r="B33" s="3">
        <f>Dados!E33/Dados!D33</f>
        <v/>
      </c>
      <c r="C33" s="3">
        <f>Dados!F33/Dados!D33</f>
        <v/>
      </c>
      <c r="D33" s="3">
        <f>Dados!E33/Dados!F33</f>
        <v/>
      </c>
      <c r="E33" s="3">
        <f>LN(B33)</f>
        <v/>
      </c>
      <c r="F33" s="3">
        <f>LN(C33)</f>
        <v/>
      </c>
      <c r="G33" s="3">
        <f>LN(D33)</f>
        <v/>
      </c>
      <c r="H33" s="3">
        <f>E33-AVERAGE(E$2:E$93)</f>
        <v/>
      </c>
      <c r="I33" s="3">
        <f>F33-AVERAGE(F$2:F$93)</f>
        <v/>
      </c>
      <c r="J33" s="3">
        <f>G33-AVERAGE(G$2:G$93)</f>
        <v/>
      </c>
      <c r="K33" s="3">
        <f>H33-(I33+J33)</f>
        <v/>
      </c>
      <c r="L33" s="3">
        <f>EXP(H33)-1</f>
        <v/>
      </c>
      <c r="M33" s="3">
        <f>EXP(I33)-1</f>
        <v/>
      </c>
      <c r="N33" s="3">
        <f>EXP(J33)-1</f>
        <v/>
      </c>
    </row>
    <row r="34">
      <c r="A34" s="3">
        <f>Dados!B34</f>
        <v/>
      </c>
      <c r="B34" s="3">
        <f>Dados!E34/Dados!D34</f>
        <v/>
      </c>
      <c r="C34" s="3">
        <f>Dados!F34/Dados!D34</f>
        <v/>
      </c>
      <c r="D34" s="3">
        <f>Dados!E34/Dados!F34</f>
        <v/>
      </c>
      <c r="E34" s="3">
        <f>LN(B34)</f>
        <v/>
      </c>
      <c r="F34" s="3">
        <f>LN(C34)</f>
        <v/>
      </c>
      <c r="G34" s="3">
        <f>LN(D34)</f>
        <v/>
      </c>
      <c r="H34" s="3">
        <f>E34-AVERAGE(E$2:E$93)</f>
        <v/>
      </c>
      <c r="I34" s="3">
        <f>F34-AVERAGE(F$2:F$93)</f>
        <v/>
      </c>
      <c r="J34" s="3">
        <f>G34-AVERAGE(G$2:G$93)</f>
        <v/>
      </c>
      <c r="K34" s="3">
        <f>H34-(I34+J34)</f>
        <v/>
      </c>
      <c r="L34" s="3">
        <f>EXP(H34)-1</f>
        <v/>
      </c>
      <c r="M34" s="3">
        <f>EXP(I34)-1</f>
        <v/>
      </c>
      <c r="N34" s="3">
        <f>EXP(J34)-1</f>
        <v/>
      </c>
    </row>
    <row r="35">
      <c r="A35" s="3">
        <f>Dados!B35</f>
        <v/>
      </c>
      <c r="B35" s="3">
        <f>Dados!E35/Dados!D35</f>
        <v/>
      </c>
      <c r="C35" s="3">
        <f>Dados!F35/Dados!D35</f>
        <v/>
      </c>
      <c r="D35" s="3">
        <f>Dados!E35/Dados!F35</f>
        <v/>
      </c>
      <c r="E35" s="3">
        <f>LN(B35)</f>
        <v/>
      </c>
      <c r="F35" s="3">
        <f>LN(C35)</f>
        <v/>
      </c>
      <c r="G35" s="3">
        <f>LN(D35)</f>
        <v/>
      </c>
      <c r="H35" s="3">
        <f>E35-AVERAGE(E$2:E$93)</f>
        <v/>
      </c>
      <c r="I35" s="3">
        <f>F35-AVERAGE(F$2:F$93)</f>
        <v/>
      </c>
      <c r="J35" s="3">
        <f>G35-AVERAGE(G$2:G$93)</f>
        <v/>
      </c>
      <c r="K35" s="3">
        <f>H35-(I35+J35)</f>
        <v/>
      </c>
      <c r="L35" s="3">
        <f>EXP(H35)-1</f>
        <v/>
      </c>
      <c r="M35" s="3">
        <f>EXP(I35)-1</f>
        <v/>
      </c>
      <c r="N35" s="3">
        <f>EXP(J35)-1</f>
        <v/>
      </c>
    </row>
    <row r="36">
      <c r="A36" s="3">
        <f>Dados!B36</f>
        <v/>
      </c>
      <c r="B36" s="3">
        <f>Dados!E36/Dados!D36</f>
        <v/>
      </c>
      <c r="C36" s="3">
        <f>Dados!F36/Dados!D36</f>
        <v/>
      </c>
      <c r="D36" s="3">
        <f>Dados!E36/Dados!F36</f>
        <v/>
      </c>
      <c r="E36" s="3">
        <f>LN(B36)</f>
        <v/>
      </c>
      <c r="F36" s="3">
        <f>LN(C36)</f>
        <v/>
      </c>
      <c r="G36" s="3">
        <f>LN(D36)</f>
        <v/>
      </c>
      <c r="H36" s="3">
        <f>E36-AVERAGE(E$2:E$93)</f>
        <v/>
      </c>
      <c r="I36" s="3">
        <f>F36-AVERAGE(F$2:F$93)</f>
        <v/>
      </c>
      <c r="J36" s="3">
        <f>G36-AVERAGE(G$2:G$93)</f>
        <v/>
      </c>
      <c r="K36" s="3">
        <f>H36-(I36+J36)</f>
        <v/>
      </c>
      <c r="L36" s="3">
        <f>EXP(H36)-1</f>
        <v/>
      </c>
      <c r="M36" s="3">
        <f>EXP(I36)-1</f>
        <v/>
      </c>
      <c r="N36" s="3">
        <f>EXP(J36)-1</f>
        <v/>
      </c>
    </row>
    <row r="37">
      <c r="A37" s="3">
        <f>Dados!B37</f>
        <v/>
      </c>
      <c r="B37" s="3">
        <f>Dados!E37/Dados!D37</f>
        <v/>
      </c>
      <c r="C37" s="3">
        <f>Dados!F37/Dados!D37</f>
        <v/>
      </c>
      <c r="D37" s="3">
        <f>Dados!E37/Dados!F37</f>
        <v/>
      </c>
      <c r="E37" s="3">
        <f>LN(B37)</f>
        <v/>
      </c>
      <c r="F37" s="3">
        <f>LN(C37)</f>
        <v/>
      </c>
      <c r="G37" s="3">
        <f>LN(D37)</f>
        <v/>
      </c>
      <c r="H37" s="3">
        <f>E37-AVERAGE(E$2:E$93)</f>
        <v/>
      </c>
      <c r="I37" s="3">
        <f>F37-AVERAGE(F$2:F$93)</f>
        <v/>
      </c>
      <c r="J37" s="3">
        <f>G37-AVERAGE(G$2:G$93)</f>
        <v/>
      </c>
      <c r="K37" s="3">
        <f>H37-(I37+J37)</f>
        <v/>
      </c>
      <c r="L37" s="3">
        <f>EXP(H37)-1</f>
        <v/>
      </c>
      <c r="M37" s="3">
        <f>EXP(I37)-1</f>
        <v/>
      </c>
      <c r="N37" s="3">
        <f>EXP(J37)-1</f>
        <v/>
      </c>
    </row>
    <row r="38">
      <c r="A38" s="3">
        <f>Dados!B38</f>
        <v/>
      </c>
      <c r="B38" s="3">
        <f>Dados!E38/Dados!D38</f>
        <v/>
      </c>
      <c r="C38" s="3">
        <f>Dados!F38/Dados!D38</f>
        <v/>
      </c>
      <c r="D38" s="3">
        <f>Dados!E38/Dados!F38</f>
        <v/>
      </c>
      <c r="E38" s="3">
        <f>LN(B38)</f>
        <v/>
      </c>
      <c r="F38" s="3">
        <f>LN(C38)</f>
        <v/>
      </c>
      <c r="G38" s="3">
        <f>LN(D38)</f>
        <v/>
      </c>
      <c r="H38" s="3">
        <f>E38-AVERAGE(E$2:E$93)</f>
        <v/>
      </c>
      <c r="I38" s="3">
        <f>F38-AVERAGE(F$2:F$93)</f>
        <v/>
      </c>
      <c r="J38" s="3">
        <f>G38-AVERAGE(G$2:G$93)</f>
        <v/>
      </c>
      <c r="K38" s="3">
        <f>H38-(I38+J38)</f>
        <v/>
      </c>
      <c r="L38" s="3">
        <f>EXP(H38)-1</f>
        <v/>
      </c>
      <c r="M38" s="3">
        <f>EXP(I38)-1</f>
        <v/>
      </c>
      <c r="N38" s="3">
        <f>EXP(J38)-1</f>
        <v/>
      </c>
    </row>
    <row r="39">
      <c r="A39" s="3">
        <f>Dados!B39</f>
        <v/>
      </c>
      <c r="B39" s="3">
        <f>Dados!E39/Dados!D39</f>
        <v/>
      </c>
      <c r="C39" s="3">
        <f>Dados!F39/Dados!D39</f>
        <v/>
      </c>
      <c r="D39" s="3">
        <f>Dados!E39/Dados!F39</f>
        <v/>
      </c>
      <c r="E39" s="3">
        <f>LN(B39)</f>
        <v/>
      </c>
      <c r="F39" s="3">
        <f>LN(C39)</f>
        <v/>
      </c>
      <c r="G39" s="3">
        <f>LN(D39)</f>
        <v/>
      </c>
      <c r="H39" s="3">
        <f>E39-AVERAGE(E$2:E$93)</f>
        <v/>
      </c>
      <c r="I39" s="3">
        <f>F39-AVERAGE(F$2:F$93)</f>
        <v/>
      </c>
      <c r="J39" s="3">
        <f>G39-AVERAGE(G$2:G$93)</f>
        <v/>
      </c>
      <c r="K39" s="3">
        <f>H39-(I39+J39)</f>
        <v/>
      </c>
      <c r="L39" s="3">
        <f>EXP(H39)-1</f>
        <v/>
      </c>
      <c r="M39" s="3">
        <f>EXP(I39)-1</f>
        <v/>
      </c>
      <c r="N39" s="3">
        <f>EXP(J39)-1</f>
        <v/>
      </c>
    </row>
    <row r="40">
      <c r="A40" s="3">
        <f>Dados!B40</f>
        <v/>
      </c>
      <c r="B40" s="3">
        <f>Dados!E40/Dados!D40</f>
        <v/>
      </c>
      <c r="C40" s="3">
        <f>Dados!F40/Dados!D40</f>
        <v/>
      </c>
      <c r="D40" s="3">
        <f>Dados!E40/Dados!F40</f>
        <v/>
      </c>
      <c r="E40" s="3">
        <f>LN(B40)</f>
        <v/>
      </c>
      <c r="F40" s="3">
        <f>LN(C40)</f>
        <v/>
      </c>
      <c r="G40" s="3">
        <f>LN(D40)</f>
        <v/>
      </c>
      <c r="H40" s="3">
        <f>E40-AVERAGE(E$2:E$93)</f>
        <v/>
      </c>
      <c r="I40" s="3">
        <f>F40-AVERAGE(F$2:F$93)</f>
        <v/>
      </c>
      <c r="J40" s="3">
        <f>G40-AVERAGE(G$2:G$93)</f>
        <v/>
      </c>
      <c r="K40" s="3">
        <f>H40-(I40+J40)</f>
        <v/>
      </c>
      <c r="L40" s="3">
        <f>EXP(H40)-1</f>
        <v/>
      </c>
      <c r="M40" s="3">
        <f>EXP(I40)-1</f>
        <v/>
      </c>
      <c r="N40" s="3">
        <f>EXP(J40)-1</f>
        <v/>
      </c>
    </row>
    <row r="41">
      <c r="A41" s="3">
        <f>Dados!B41</f>
        <v/>
      </c>
      <c r="B41" s="3">
        <f>Dados!E41/Dados!D41</f>
        <v/>
      </c>
      <c r="C41" s="3">
        <f>Dados!F41/Dados!D41</f>
        <v/>
      </c>
      <c r="D41" s="3">
        <f>Dados!E41/Dados!F41</f>
        <v/>
      </c>
      <c r="E41" s="3">
        <f>LN(B41)</f>
        <v/>
      </c>
      <c r="F41" s="3">
        <f>LN(C41)</f>
        <v/>
      </c>
      <c r="G41" s="3">
        <f>LN(D41)</f>
        <v/>
      </c>
      <c r="H41" s="3">
        <f>E41-AVERAGE(E$2:E$93)</f>
        <v/>
      </c>
      <c r="I41" s="3">
        <f>F41-AVERAGE(F$2:F$93)</f>
        <v/>
      </c>
      <c r="J41" s="3">
        <f>G41-AVERAGE(G$2:G$93)</f>
        <v/>
      </c>
      <c r="K41" s="3">
        <f>H41-(I41+J41)</f>
        <v/>
      </c>
      <c r="L41" s="3">
        <f>EXP(H41)-1</f>
        <v/>
      </c>
      <c r="M41" s="3">
        <f>EXP(I41)-1</f>
        <v/>
      </c>
      <c r="N41" s="3">
        <f>EXP(J41)-1</f>
        <v/>
      </c>
    </row>
    <row r="42">
      <c r="A42" s="3">
        <f>Dados!B42</f>
        <v/>
      </c>
      <c r="B42" s="3">
        <f>Dados!E42/Dados!D42</f>
        <v/>
      </c>
      <c r="C42" s="3">
        <f>Dados!F42/Dados!D42</f>
        <v/>
      </c>
      <c r="D42" s="3">
        <f>Dados!E42/Dados!F42</f>
        <v/>
      </c>
      <c r="E42" s="3">
        <f>LN(B42)</f>
        <v/>
      </c>
      <c r="F42" s="3">
        <f>LN(C42)</f>
        <v/>
      </c>
      <c r="G42" s="3">
        <f>LN(D42)</f>
        <v/>
      </c>
      <c r="H42" s="3">
        <f>E42-AVERAGE(E$2:E$93)</f>
        <v/>
      </c>
      <c r="I42" s="3">
        <f>F42-AVERAGE(F$2:F$93)</f>
        <v/>
      </c>
      <c r="J42" s="3">
        <f>G42-AVERAGE(G$2:G$93)</f>
        <v/>
      </c>
      <c r="K42" s="3">
        <f>H42-(I42+J42)</f>
        <v/>
      </c>
      <c r="L42" s="3">
        <f>EXP(H42)-1</f>
        <v/>
      </c>
      <c r="M42" s="3">
        <f>EXP(I42)-1</f>
        <v/>
      </c>
      <c r="N42" s="3">
        <f>EXP(J42)-1</f>
        <v/>
      </c>
    </row>
    <row r="43">
      <c r="A43" s="3">
        <f>Dados!B43</f>
        <v/>
      </c>
      <c r="B43" s="3">
        <f>Dados!E43/Dados!D43</f>
        <v/>
      </c>
      <c r="C43" s="3">
        <f>Dados!F43/Dados!D43</f>
        <v/>
      </c>
      <c r="D43" s="3">
        <f>Dados!E43/Dados!F43</f>
        <v/>
      </c>
      <c r="E43" s="3">
        <f>LN(B43)</f>
        <v/>
      </c>
      <c r="F43" s="3">
        <f>LN(C43)</f>
        <v/>
      </c>
      <c r="G43" s="3">
        <f>LN(D43)</f>
        <v/>
      </c>
      <c r="H43" s="3">
        <f>E43-AVERAGE(E$2:E$93)</f>
        <v/>
      </c>
      <c r="I43" s="3">
        <f>F43-AVERAGE(F$2:F$93)</f>
        <v/>
      </c>
      <c r="J43" s="3">
        <f>G43-AVERAGE(G$2:G$93)</f>
        <v/>
      </c>
      <c r="K43" s="3">
        <f>H43-(I43+J43)</f>
        <v/>
      </c>
      <c r="L43" s="3">
        <f>EXP(H43)-1</f>
        <v/>
      </c>
      <c r="M43" s="3">
        <f>EXP(I43)-1</f>
        <v/>
      </c>
      <c r="N43" s="3">
        <f>EXP(J43)-1</f>
        <v/>
      </c>
    </row>
    <row r="44">
      <c r="A44" s="3">
        <f>Dados!B44</f>
        <v/>
      </c>
      <c r="B44" s="3">
        <f>Dados!E44/Dados!D44</f>
        <v/>
      </c>
      <c r="C44" s="3">
        <f>Dados!F44/Dados!D44</f>
        <v/>
      </c>
      <c r="D44" s="3">
        <f>Dados!E44/Dados!F44</f>
        <v/>
      </c>
      <c r="E44" s="3">
        <f>LN(B44)</f>
        <v/>
      </c>
      <c r="F44" s="3">
        <f>LN(C44)</f>
        <v/>
      </c>
      <c r="G44" s="3">
        <f>LN(D44)</f>
        <v/>
      </c>
      <c r="H44" s="3">
        <f>E44-AVERAGE(E$2:E$93)</f>
        <v/>
      </c>
      <c r="I44" s="3">
        <f>F44-AVERAGE(F$2:F$93)</f>
        <v/>
      </c>
      <c r="J44" s="3">
        <f>G44-AVERAGE(G$2:G$93)</f>
        <v/>
      </c>
      <c r="K44" s="3">
        <f>H44-(I44+J44)</f>
        <v/>
      </c>
      <c r="L44" s="3">
        <f>EXP(H44)-1</f>
        <v/>
      </c>
      <c r="M44" s="3">
        <f>EXP(I44)-1</f>
        <v/>
      </c>
      <c r="N44" s="3">
        <f>EXP(J44)-1</f>
        <v/>
      </c>
    </row>
    <row r="45">
      <c r="A45" s="3">
        <f>Dados!B45</f>
        <v/>
      </c>
      <c r="B45" s="3">
        <f>Dados!E45/Dados!D45</f>
        <v/>
      </c>
      <c r="C45" s="3">
        <f>Dados!F45/Dados!D45</f>
        <v/>
      </c>
      <c r="D45" s="3">
        <f>Dados!E45/Dados!F45</f>
        <v/>
      </c>
      <c r="E45" s="3">
        <f>LN(B45)</f>
        <v/>
      </c>
      <c r="F45" s="3">
        <f>LN(C45)</f>
        <v/>
      </c>
      <c r="G45" s="3">
        <f>LN(D45)</f>
        <v/>
      </c>
      <c r="H45" s="3">
        <f>E45-AVERAGE(E$2:E$93)</f>
        <v/>
      </c>
      <c r="I45" s="3">
        <f>F45-AVERAGE(F$2:F$93)</f>
        <v/>
      </c>
      <c r="J45" s="3">
        <f>G45-AVERAGE(G$2:G$93)</f>
        <v/>
      </c>
      <c r="K45" s="3">
        <f>H45-(I45+J45)</f>
        <v/>
      </c>
      <c r="L45" s="3">
        <f>EXP(H45)-1</f>
        <v/>
      </c>
      <c r="M45" s="3">
        <f>EXP(I45)-1</f>
        <v/>
      </c>
      <c r="N45" s="3">
        <f>EXP(J45)-1</f>
        <v/>
      </c>
    </row>
    <row r="46">
      <c r="A46" s="3">
        <f>Dados!B46</f>
        <v/>
      </c>
      <c r="B46" s="3">
        <f>Dados!E46/Dados!D46</f>
        <v/>
      </c>
      <c r="C46" s="3">
        <f>Dados!F46/Dados!D46</f>
        <v/>
      </c>
      <c r="D46" s="3">
        <f>Dados!E46/Dados!F46</f>
        <v/>
      </c>
      <c r="E46" s="3">
        <f>LN(B46)</f>
        <v/>
      </c>
      <c r="F46" s="3">
        <f>LN(C46)</f>
        <v/>
      </c>
      <c r="G46" s="3">
        <f>LN(D46)</f>
        <v/>
      </c>
      <c r="H46" s="3">
        <f>E46-AVERAGE(E$2:E$93)</f>
        <v/>
      </c>
      <c r="I46" s="3">
        <f>F46-AVERAGE(F$2:F$93)</f>
        <v/>
      </c>
      <c r="J46" s="3">
        <f>G46-AVERAGE(G$2:G$93)</f>
        <v/>
      </c>
      <c r="K46" s="3">
        <f>H46-(I46+J46)</f>
        <v/>
      </c>
      <c r="L46" s="3">
        <f>EXP(H46)-1</f>
        <v/>
      </c>
      <c r="M46" s="3">
        <f>EXP(I46)-1</f>
        <v/>
      </c>
      <c r="N46" s="3">
        <f>EXP(J46)-1</f>
        <v/>
      </c>
    </row>
    <row r="47">
      <c r="A47" s="3">
        <f>Dados!B47</f>
        <v/>
      </c>
      <c r="B47" s="3">
        <f>Dados!E47/Dados!D47</f>
        <v/>
      </c>
      <c r="C47" s="3">
        <f>Dados!F47/Dados!D47</f>
        <v/>
      </c>
      <c r="D47" s="3">
        <f>Dados!E47/Dados!F47</f>
        <v/>
      </c>
      <c r="E47" s="3">
        <f>LN(B47)</f>
        <v/>
      </c>
      <c r="F47" s="3">
        <f>LN(C47)</f>
        <v/>
      </c>
      <c r="G47" s="3">
        <f>LN(D47)</f>
        <v/>
      </c>
      <c r="H47" s="3">
        <f>E47-AVERAGE(E$2:E$93)</f>
        <v/>
      </c>
      <c r="I47" s="3">
        <f>F47-AVERAGE(F$2:F$93)</f>
        <v/>
      </c>
      <c r="J47" s="3">
        <f>G47-AVERAGE(G$2:G$93)</f>
        <v/>
      </c>
      <c r="K47" s="3">
        <f>H47-(I47+J47)</f>
        <v/>
      </c>
      <c r="L47" s="3">
        <f>EXP(H47)-1</f>
        <v/>
      </c>
      <c r="M47" s="3">
        <f>EXP(I47)-1</f>
        <v/>
      </c>
      <c r="N47" s="3">
        <f>EXP(J47)-1</f>
        <v/>
      </c>
    </row>
    <row r="48">
      <c r="A48" s="3">
        <f>Dados!B48</f>
        <v/>
      </c>
      <c r="B48" s="3">
        <f>Dados!E48/Dados!D48</f>
        <v/>
      </c>
      <c r="C48" s="3">
        <f>Dados!F48/Dados!D48</f>
        <v/>
      </c>
      <c r="D48" s="3">
        <f>Dados!E48/Dados!F48</f>
        <v/>
      </c>
      <c r="E48" s="3">
        <f>LN(B48)</f>
        <v/>
      </c>
      <c r="F48" s="3">
        <f>LN(C48)</f>
        <v/>
      </c>
      <c r="G48" s="3">
        <f>LN(D48)</f>
        <v/>
      </c>
      <c r="H48" s="3">
        <f>E48-AVERAGE(E$2:E$93)</f>
        <v/>
      </c>
      <c r="I48" s="3">
        <f>F48-AVERAGE(F$2:F$93)</f>
        <v/>
      </c>
      <c r="J48" s="3">
        <f>G48-AVERAGE(G$2:G$93)</f>
        <v/>
      </c>
      <c r="K48" s="3">
        <f>H48-(I48+J48)</f>
        <v/>
      </c>
      <c r="L48" s="3">
        <f>EXP(H48)-1</f>
        <v/>
      </c>
      <c r="M48" s="3">
        <f>EXP(I48)-1</f>
        <v/>
      </c>
      <c r="N48" s="3">
        <f>EXP(J48)-1</f>
        <v/>
      </c>
    </row>
    <row r="49">
      <c r="A49" s="3">
        <f>Dados!B49</f>
        <v/>
      </c>
      <c r="B49" s="3">
        <f>Dados!E49/Dados!D49</f>
        <v/>
      </c>
      <c r="C49" s="3">
        <f>Dados!F49/Dados!D49</f>
        <v/>
      </c>
      <c r="D49" s="3">
        <f>Dados!E49/Dados!F49</f>
        <v/>
      </c>
      <c r="E49" s="3">
        <f>LN(B49)</f>
        <v/>
      </c>
      <c r="F49" s="3">
        <f>LN(C49)</f>
        <v/>
      </c>
      <c r="G49" s="3">
        <f>LN(D49)</f>
        <v/>
      </c>
      <c r="H49" s="3">
        <f>E49-AVERAGE(E$2:E$93)</f>
        <v/>
      </c>
      <c r="I49" s="3">
        <f>F49-AVERAGE(F$2:F$93)</f>
        <v/>
      </c>
      <c r="J49" s="3">
        <f>G49-AVERAGE(G$2:G$93)</f>
        <v/>
      </c>
      <c r="K49" s="3">
        <f>H49-(I49+J49)</f>
        <v/>
      </c>
      <c r="L49" s="3">
        <f>EXP(H49)-1</f>
        <v/>
      </c>
      <c r="M49" s="3">
        <f>EXP(I49)-1</f>
        <v/>
      </c>
      <c r="N49" s="3">
        <f>EXP(J49)-1</f>
        <v/>
      </c>
    </row>
    <row r="50">
      <c r="A50" s="3">
        <f>Dados!B50</f>
        <v/>
      </c>
      <c r="B50" s="3">
        <f>Dados!E50/Dados!D50</f>
        <v/>
      </c>
      <c r="C50" s="3">
        <f>Dados!F50/Dados!D50</f>
        <v/>
      </c>
      <c r="D50" s="3">
        <f>Dados!E50/Dados!F50</f>
        <v/>
      </c>
      <c r="E50" s="3">
        <f>LN(B50)</f>
        <v/>
      </c>
      <c r="F50" s="3">
        <f>LN(C50)</f>
        <v/>
      </c>
      <c r="G50" s="3">
        <f>LN(D50)</f>
        <v/>
      </c>
      <c r="H50" s="3">
        <f>E50-AVERAGE(E$2:E$93)</f>
        <v/>
      </c>
      <c r="I50" s="3">
        <f>F50-AVERAGE(F$2:F$93)</f>
        <v/>
      </c>
      <c r="J50" s="3">
        <f>G50-AVERAGE(G$2:G$93)</f>
        <v/>
      </c>
      <c r="K50" s="3">
        <f>H50-(I50+J50)</f>
        <v/>
      </c>
      <c r="L50" s="3">
        <f>EXP(H50)-1</f>
        <v/>
      </c>
      <c r="M50" s="3">
        <f>EXP(I50)-1</f>
        <v/>
      </c>
      <c r="N50" s="3">
        <f>EXP(J50)-1</f>
        <v/>
      </c>
    </row>
    <row r="51">
      <c r="A51" s="3">
        <f>Dados!B51</f>
        <v/>
      </c>
      <c r="B51" s="3">
        <f>Dados!E51/Dados!D51</f>
        <v/>
      </c>
      <c r="C51" s="3">
        <f>Dados!F51/Dados!D51</f>
        <v/>
      </c>
      <c r="D51" s="3">
        <f>Dados!E51/Dados!F51</f>
        <v/>
      </c>
      <c r="E51" s="3">
        <f>LN(B51)</f>
        <v/>
      </c>
      <c r="F51" s="3">
        <f>LN(C51)</f>
        <v/>
      </c>
      <c r="G51" s="3">
        <f>LN(D51)</f>
        <v/>
      </c>
      <c r="H51" s="3">
        <f>E51-AVERAGE(E$2:E$93)</f>
        <v/>
      </c>
      <c r="I51" s="3">
        <f>F51-AVERAGE(F$2:F$93)</f>
        <v/>
      </c>
      <c r="J51" s="3">
        <f>G51-AVERAGE(G$2:G$93)</f>
        <v/>
      </c>
      <c r="K51" s="3">
        <f>H51-(I51+J51)</f>
        <v/>
      </c>
      <c r="L51" s="3">
        <f>EXP(H51)-1</f>
        <v/>
      </c>
      <c r="M51" s="3">
        <f>EXP(I51)-1</f>
        <v/>
      </c>
      <c r="N51" s="3">
        <f>EXP(J51)-1</f>
        <v/>
      </c>
    </row>
    <row r="52">
      <c r="A52" s="3">
        <f>Dados!B52</f>
        <v/>
      </c>
      <c r="B52" s="3">
        <f>Dados!E52/Dados!D52</f>
        <v/>
      </c>
      <c r="C52" s="3">
        <f>Dados!F52/Dados!D52</f>
        <v/>
      </c>
      <c r="D52" s="3">
        <f>Dados!E52/Dados!F52</f>
        <v/>
      </c>
      <c r="E52" s="3">
        <f>LN(B52)</f>
        <v/>
      </c>
      <c r="F52" s="3">
        <f>LN(C52)</f>
        <v/>
      </c>
      <c r="G52" s="3">
        <f>LN(D52)</f>
        <v/>
      </c>
      <c r="H52" s="3">
        <f>E52-AVERAGE(E$2:E$93)</f>
        <v/>
      </c>
      <c r="I52" s="3">
        <f>F52-AVERAGE(F$2:F$93)</f>
        <v/>
      </c>
      <c r="J52" s="3">
        <f>G52-AVERAGE(G$2:G$93)</f>
        <v/>
      </c>
      <c r="K52" s="3">
        <f>H52-(I52+J52)</f>
        <v/>
      </c>
      <c r="L52" s="3">
        <f>EXP(H52)-1</f>
        <v/>
      </c>
      <c r="M52" s="3">
        <f>EXP(I52)-1</f>
        <v/>
      </c>
      <c r="N52" s="3">
        <f>EXP(J52)-1</f>
        <v/>
      </c>
    </row>
    <row r="53">
      <c r="A53" s="3">
        <f>Dados!B53</f>
        <v/>
      </c>
      <c r="B53" s="3">
        <f>Dados!E53/Dados!D53</f>
        <v/>
      </c>
      <c r="C53" s="3">
        <f>Dados!F53/Dados!D53</f>
        <v/>
      </c>
      <c r="D53" s="3">
        <f>Dados!E53/Dados!F53</f>
        <v/>
      </c>
      <c r="E53" s="3">
        <f>LN(B53)</f>
        <v/>
      </c>
      <c r="F53" s="3">
        <f>LN(C53)</f>
        <v/>
      </c>
      <c r="G53" s="3">
        <f>LN(D53)</f>
        <v/>
      </c>
      <c r="H53" s="3">
        <f>E53-AVERAGE(E$2:E$93)</f>
        <v/>
      </c>
      <c r="I53" s="3">
        <f>F53-AVERAGE(F$2:F$93)</f>
        <v/>
      </c>
      <c r="J53" s="3">
        <f>G53-AVERAGE(G$2:G$93)</f>
        <v/>
      </c>
      <c r="K53" s="3">
        <f>H53-(I53+J53)</f>
        <v/>
      </c>
      <c r="L53" s="3">
        <f>EXP(H53)-1</f>
        <v/>
      </c>
      <c r="M53" s="3">
        <f>EXP(I53)-1</f>
        <v/>
      </c>
      <c r="N53" s="3">
        <f>EXP(J53)-1</f>
        <v/>
      </c>
    </row>
    <row r="54">
      <c r="A54" s="3">
        <f>Dados!B54</f>
        <v/>
      </c>
      <c r="B54" s="3">
        <f>Dados!E54/Dados!D54</f>
        <v/>
      </c>
      <c r="C54" s="3">
        <f>Dados!F54/Dados!D54</f>
        <v/>
      </c>
      <c r="D54" s="3">
        <f>Dados!E54/Dados!F54</f>
        <v/>
      </c>
      <c r="E54" s="3">
        <f>LN(B54)</f>
        <v/>
      </c>
      <c r="F54" s="3">
        <f>LN(C54)</f>
        <v/>
      </c>
      <c r="G54" s="3">
        <f>LN(D54)</f>
        <v/>
      </c>
      <c r="H54" s="3">
        <f>E54-AVERAGE(E$2:E$93)</f>
        <v/>
      </c>
      <c r="I54" s="3">
        <f>F54-AVERAGE(F$2:F$93)</f>
        <v/>
      </c>
      <c r="J54" s="3">
        <f>G54-AVERAGE(G$2:G$93)</f>
        <v/>
      </c>
      <c r="K54" s="3">
        <f>H54-(I54+J54)</f>
        <v/>
      </c>
      <c r="L54" s="3">
        <f>EXP(H54)-1</f>
        <v/>
      </c>
      <c r="M54" s="3">
        <f>EXP(I54)-1</f>
        <v/>
      </c>
      <c r="N54" s="3">
        <f>EXP(J54)-1</f>
        <v/>
      </c>
    </row>
    <row r="55">
      <c r="A55" s="3">
        <f>Dados!B55</f>
        <v/>
      </c>
      <c r="B55" s="3">
        <f>Dados!E55/Dados!D55</f>
        <v/>
      </c>
      <c r="C55" s="3">
        <f>Dados!F55/Dados!D55</f>
        <v/>
      </c>
      <c r="D55" s="3">
        <f>Dados!E55/Dados!F55</f>
        <v/>
      </c>
      <c r="E55" s="3">
        <f>LN(B55)</f>
        <v/>
      </c>
      <c r="F55" s="3">
        <f>LN(C55)</f>
        <v/>
      </c>
      <c r="G55" s="3">
        <f>LN(D55)</f>
        <v/>
      </c>
      <c r="H55" s="3">
        <f>E55-AVERAGE(E$2:E$93)</f>
        <v/>
      </c>
      <c r="I55" s="3">
        <f>F55-AVERAGE(F$2:F$93)</f>
        <v/>
      </c>
      <c r="J55" s="3">
        <f>G55-AVERAGE(G$2:G$93)</f>
        <v/>
      </c>
      <c r="K55" s="3">
        <f>H55-(I55+J55)</f>
        <v/>
      </c>
      <c r="L55" s="3">
        <f>EXP(H55)-1</f>
        <v/>
      </c>
      <c r="M55" s="3">
        <f>EXP(I55)-1</f>
        <v/>
      </c>
      <c r="N55" s="3">
        <f>EXP(J55)-1</f>
        <v/>
      </c>
    </row>
    <row r="56">
      <c r="A56" s="3">
        <f>Dados!B56</f>
        <v/>
      </c>
      <c r="B56" s="3">
        <f>Dados!E56/Dados!D56</f>
        <v/>
      </c>
      <c r="C56" s="3">
        <f>Dados!F56/Dados!D56</f>
        <v/>
      </c>
      <c r="D56" s="3">
        <f>Dados!E56/Dados!F56</f>
        <v/>
      </c>
      <c r="E56" s="3">
        <f>LN(B56)</f>
        <v/>
      </c>
      <c r="F56" s="3">
        <f>LN(C56)</f>
        <v/>
      </c>
      <c r="G56" s="3">
        <f>LN(D56)</f>
        <v/>
      </c>
      <c r="H56" s="3">
        <f>E56-AVERAGE(E$2:E$93)</f>
        <v/>
      </c>
      <c r="I56" s="3">
        <f>F56-AVERAGE(F$2:F$93)</f>
        <v/>
      </c>
      <c r="J56" s="3">
        <f>G56-AVERAGE(G$2:G$93)</f>
        <v/>
      </c>
      <c r="K56" s="3">
        <f>H56-(I56+J56)</f>
        <v/>
      </c>
      <c r="L56" s="3">
        <f>EXP(H56)-1</f>
        <v/>
      </c>
      <c r="M56" s="3">
        <f>EXP(I56)-1</f>
        <v/>
      </c>
      <c r="N56" s="3">
        <f>EXP(J56)-1</f>
        <v/>
      </c>
    </row>
    <row r="57">
      <c r="A57" s="3">
        <f>Dados!B57</f>
        <v/>
      </c>
      <c r="B57" s="3">
        <f>Dados!E57/Dados!D57</f>
        <v/>
      </c>
      <c r="C57" s="3">
        <f>Dados!F57/Dados!D57</f>
        <v/>
      </c>
      <c r="D57" s="3">
        <f>Dados!E57/Dados!F57</f>
        <v/>
      </c>
      <c r="E57" s="3">
        <f>LN(B57)</f>
        <v/>
      </c>
      <c r="F57" s="3">
        <f>LN(C57)</f>
        <v/>
      </c>
      <c r="G57" s="3">
        <f>LN(D57)</f>
        <v/>
      </c>
      <c r="H57" s="3">
        <f>E57-AVERAGE(E$2:E$93)</f>
        <v/>
      </c>
      <c r="I57" s="3">
        <f>F57-AVERAGE(F$2:F$93)</f>
        <v/>
      </c>
      <c r="J57" s="3">
        <f>G57-AVERAGE(G$2:G$93)</f>
        <v/>
      </c>
      <c r="K57" s="3">
        <f>H57-(I57+J57)</f>
        <v/>
      </c>
      <c r="L57" s="3">
        <f>EXP(H57)-1</f>
        <v/>
      </c>
      <c r="M57" s="3">
        <f>EXP(I57)-1</f>
        <v/>
      </c>
      <c r="N57" s="3">
        <f>EXP(J57)-1</f>
        <v/>
      </c>
    </row>
    <row r="58">
      <c r="A58" s="3">
        <f>Dados!B58</f>
        <v/>
      </c>
      <c r="B58" s="3">
        <f>Dados!E58/Dados!D58</f>
        <v/>
      </c>
      <c r="C58" s="3">
        <f>Dados!F58/Dados!D58</f>
        <v/>
      </c>
      <c r="D58" s="3">
        <f>Dados!E58/Dados!F58</f>
        <v/>
      </c>
      <c r="E58" s="3">
        <f>LN(B58)</f>
        <v/>
      </c>
      <c r="F58" s="3">
        <f>LN(C58)</f>
        <v/>
      </c>
      <c r="G58" s="3">
        <f>LN(D58)</f>
        <v/>
      </c>
      <c r="H58" s="3">
        <f>E58-AVERAGE(E$2:E$93)</f>
        <v/>
      </c>
      <c r="I58" s="3">
        <f>F58-AVERAGE(F$2:F$93)</f>
        <v/>
      </c>
      <c r="J58" s="3">
        <f>G58-AVERAGE(G$2:G$93)</f>
        <v/>
      </c>
      <c r="K58" s="3">
        <f>H58-(I58+J58)</f>
        <v/>
      </c>
      <c r="L58" s="3">
        <f>EXP(H58)-1</f>
        <v/>
      </c>
      <c r="M58" s="3">
        <f>EXP(I58)-1</f>
        <v/>
      </c>
      <c r="N58" s="3">
        <f>EXP(J58)-1</f>
        <v/>
      </c>
    </row>
    <row r="59">
      <c r="A59" s="3">
        <f>Dados!B59</f>
        <v/>
      </c>
      <c r="B59" s="3">
        <f>Dados!E59/Dados!D59</f>
        <v/>
      </c>
      <c r="C59" s="3">
        <f>Dados!F59/Dados!D59</f>
        <v/>
      </c>
      <c r="D59" s="3">
        <f>Dados!E59/Dados!F59</f>
        <v/>
      </c>
      <c r="E59" s="3">
        <f>LN(B59)</f>
        <v/>
      </c>
      <c r="F59" s="3">
        <f>LN(C59)</f>
        <v/>
      </c>
      <c r="G59" s="3">
        <f>LN(D59)</f>
        <v/>
      </c>
      <c r="H59" s="3">
        <f>E59-AVERAGE(E$2:E$93)</f>
        <v/>
      </c>
      <c r="I59" s="3">
        <f>F59-AVERAGE(F$2:F$93)</f>
        <v/>
      </c>
      <c r="J59" s="3">
        <f>G59-AVERAGE(G$2:G$93)</f>
        <v/>
      </c>
      <c r="K59" s="3">
        <f>H59-(I59+J59)</f>
        <v/>
      </c>
      <c r="L59" s="3">
        <f>EXP(H59)-1</f>
        <v/>
      </c>
      <c r="M59" s="3">
        <f>EXP(I59)-1</f>
        <v/>
      </c>
      <c r="N59" s="3">
        <f>EXP(J59)-1</f>
        <v/>
      </c>
    </row>
    <row r="60">
      <c r="A60" s="3">
        <f>Dados!B60</f>
        <v/>
      </c>
      <c r="B60" s="3">
        <f>Dados!E60/Dados!D60</f>
        <v/>
      </c>
      <c r="C60" s="3">
        <f>Dados!F60/Dados!D60</f>
        <v/>
      </c>
      <c r="D60" s="3">
        <f>Dados!E60/Dados!F60</f>
        <v/>
      </c>
      <c r="E60" s="3">
        <f>LN(B60)</f>
        <v/>
      </c>
      <c r="F60" s="3">
        <f>LN(C60)</f>
        <v/>
      </c>
      <c r="G60" s="3">
        <f>LN(D60)</f>
        <v/>
      </c>
      <c r="H60" s="3">
        <f>E60-AVERAGE(E$2:E$93)</f>
        <v/>
      </c>
      <c r="I60" s="3">
        <f>F60-AVERAGE(F$2:F$93)</f>
        <v/>
      </c>
      <c r="J60" s="3">
        <f>G60-AVERAGE(G$2:G$93)</f>
        <v/>
      </c>
      <c r="K60" s="3">
        <f>H60-(I60+J60)</f>
        <v/>
      </c>
      <c r="L60" s="3">
        <f>EXP(H60)-1</f>
        <v/>
      </c>
      <c r="M60" s="3">
        <f>EXP(I60)-1</f>
        <v/>
      </c>
      <c r="N60" s="3">
        <f>EXP(J60)-1</f>
        <v/>
      </c>
    </row>
    <row r="61">
      <c r="A61" s="3">
        <f>Dados!B61</f>
        <v/>
      </c>
      <c r="B61" s="3">
        <f>Dados!E61/Dados!D61</f>
        <v/>
      </c>
      <c r="C61" s="3">
        <f>Dados!F61/Dados!D61</f>
        <v/>
      </c>
      <c r="D61" s="3">
        <f>Dados!E61/Dados!F61</f>
        <v/>
      </c>
      <c r="E61" s="3">
        <f>LN(B61)</f>
        <v/>
      </c>
      <c r="F61" s="3">
        <f>LN(C61)</f>
        <v/>
      </c>
      <c r="G61" s="3">
        <f>LN(D61)</f>
        <v/>
      </c>
      <c r="H61" s="3">
        <f>E61-AVERAGE(E$2:E$93)</f>
        <v/>
      </c>
      <c r="I61" s="3">
        <f>F61-AVERAGE(F$2:F$93)</f>
        <v/>
      </c>
      <c r="J61" s="3">
        <f>G61-AVERAGE(G$2:G$93)</f>
        <v/>
      </c>
      <c r="K61" s="3">
        <f>H61-(I61+J61)</f>
        <v/>
      </c>
      <c r="L61" s="3">
        <f>EXP(H61)-1</f>
        <v/>
      </c>
      <c r="M61" s="3">
        <f>EXP(I61)-1</f>
        <v/>
      </c>
      <c r="N61" s="3">
        <f>EXP(J61)-1</f>
        <v/>
      </c>
    </row>
    <row r="62">
      <c r="A62" s="3">
        <f>Dados!B62</f>
        <v/>
      </c>
      <c r="B62" s="3">
        <f>Dados!E62/Dados!D62</f>
        <v/>
      </c>
      <c r="C62" s="3">
        <f>Dados!F62/Dados!D62</f>
        <v/>
      </c>
      <c r="D62" s="3">
        <f>Dados!E62/Dados!F62</f>
        <v/>
      </c>
      <c r="E62" s="3">
        <f>LN(B62)</f>
        <v/>
      </c>
      <c r="F62" s="3">
        <f>LN(C62)</f>
        <v/>
      </c>
      <c r="G62" s="3">
        <f>LN(D62)</f>
        <v/>
      </c>
      <c r="H62" s="3">
        <f>E62-AVERAGE(E$2:E$93)</f>
        <v/>
      </c>
      <c r="I62" s="3">
        <f>F62-AVERAGE(F$2:F$93)</f>
        <v/>
      </c>
      <c r="J62" s="3">
        <f>G62-AVERAGE(G$2:G$93)</f>
        <v/>
      </c>
      <c r="K62" s="3">
        <f>H62-(I62+J62)</f>
        <v/>
      </c>
      <c r="L62" s="3">
        <f>EXP(H62)-1</f>
        <v/>
      </c>
      <c r="M62" s="3">
        <f>EXP(I62)-1</f>
        <v/>
      </c>
      <c r="N62" s="3">
        <f>EXP(J62)-1</f>
        <v/>
      </c>
    </row>
    <row r="63">
      <c r="A63" s="3">
        <f>Dados!B63</f>
        <v/>
      </c>
      <c r="B63" s="3">
        <f>Dados!E63/Dados!D63</f>
        <v/>
      </c>
      <c r="C63" s="3">
        <f>Dados!F63/Dados!D63</f>
        <v/>
      </c>
      <c r="D63" s="3">
        <f>Dados!E63/Dados!F63</f>
        <v/>
      </c>
      <c r="E63" s="3">
        <f>LN(B63)</f>
        <v/>
      </c>
      <c r="F63" s="3">
        <f>LN(C63)</f>
        <v/>
      </c>
      <c r="G63" s="3">
        <f>LN(D63)</f>
        <v/>
      </c>
      <c r="H63" s="3">
        <f>E63-AVERAGE(E$2:E$93)</f>
        <v/>
      </c>
      <c r="I63" s="3">
        <f>F63-AVERAGE(F$2:F$93)</f>
        <v/>
      </c>
      <c r="J63" s="3">
        <f>G63-AVERAGE(G$2:G$93)</f>
        <v/>
      </c>
      <c r="K63" s="3">
        <f>H63-(I63+J63)</f>
        <v/>
      </c>
      <c r="L63" s="3">
        <f>EXP(H63)-1</f>
        <v/>
      </c>
      <c r="M63" s="3">
        <f>EXP(I63)-1</f>
        <v/>
      </c>
      <c r="N63" s="3">
        <f>EXP(J63)-1</f>
        <v/>
      </c>
    </row>
    <row r="64">
      <c r="A64" s="3">
        <f>Dados!B64</f>
        <v/>
      </c>
      <c r="B64" s="3">
        <f>Dados!E64/Dados!D64</f>
        <v/>
      </c>
      <c r="C64" s="3">
        <f>Dados!F64/Dados!D64</f>
        <v/>
      </c>
      <c r="D64" s="3">
        <f>Dados!E64/Dados!F64</f>
        <v/>
      </c>
      <c r="E64" s="3">
        <f>LN(B64)</f>
        <v/>
      </c>
      <c r="F64" s="3">
        <f>LN(C64)</f>
        <v/>
      </c>
      <c r="G64" s="3">
        <f>LN(D64)</f>
        <v/>
      </c>
      <c r="H64" s="3">
        <f>E64-AVERAGE(E$2:E$93)</f>
        <v/>
      </c>
      <c r="I64" s="3">
        <f>F64-AVERAGE(F$2:F$93)</f>
        <v/>
      </c>
      <c r="J64" s="3">
        <f>G64-AVERAGE(G$2:G$93)</f>
        <v/>
      </c>
      <c r="K64" s="3">
        <f>H64-(I64+J64)</f>
        <v/>
      </c>
      <c r="L64" s="3">
        <f>EXP(H64)-1</f>
        <v/>
      </c>
      <c r="M64" s="3">
        <f>EXP(I64)-1</f>
        <v/>
      </c>
      <c r="N64" s="3">
        <f>EXP(J64)-1</f>
        <v/>
      </c>
    </row>
    <row r="65">
      <c r="A65" s="3">
        <f>Dados!B65</f>
        <v/>
      </c>
      <c r="B65" s="3">
        <f>Dados!E65/Dados!D65</f>
        <v/>
      </c>
      <c r="C65" s="3">
        <f>Dados!F65/Dados!D65</f>
        <v/>
      </c>
      <c r="D65" s="3">
        <f>Dados!E65/Dados!F65</f>
        <v/>
      </c>
      <c r="E65" s="3">
        <f>LN(B65)</f>
        <v/>
      </c>
      <c r="F65" s="3">
        <f>LN(C65)</f>
        <v/>
      </c>
      <c r="G65" s="3">
        <f>LN(D65)</f>
        <v/>
      </c>
      <c r="H65" s="3">
        <f>E65-AVERAGE(E$2:E$93)</f>
        <v/>
      </c>
      <c r="I65" s="3">
        <f>F65-AVERAGE(F$2:F$93)</f>
        <v/>
      </c>
      <c r="J65" s="3">
        <f>G65-AVERAGE(G$2:G$93)</f>
        <v/>
      </c>
      <c r="K65" s="3">
        <f>H65-(I65+J65)</f>
        <v/>
      </c>
      <c r="L65" s="3">
        <f>EXP(H65)-1</f>
        <v/>
      </c>
      <c r="M65" s="3">
        <f>EXP(I65)-1</f>
        <v/>
      </c>
      <c r="N65" s="3">
        <f>EXP(J65)-1</f>
        <v/>
      </c>
    </row>
    <row r="66">
      <c r="A66" s="3">
        <f>Dados!B66</f>
        <v/>
      </c>
      <c r="B66" s="3">
        <f>Dados!E66/Dados!D66</f>
        <v/>
      </c>
      <c r="C66" s="3">
        <f>Dados!F66/Dados!D66</f>
        <v/>
      </c>
      <c r="D66" s="3">
        <f>Dados!E66/Dados!F66</f>
        <v/>
      </c>
      <c r="E66" s="3">
        <f>LN(B66)</f>
        <v/>
      </c>
      <c r="F66" s="3">
        <f>LN(C66)</f>
        <v/>
      </c>
      <c r="G66" s="3">
        <f>LN(D66)</f>
        <v/>
      </c>
      <c r="H66" s="3">
        <f>E66-AVERAGE(E$2:E$93)</f>
        <v/>
      </c>
      <c r="I66" s="3">
        <f>F66-AVERAGE(F$2:F$93)</f>
        <v/>
      </c>
      <c r="J66" s="3">
        <f>G66-AVERAGE(G$2:G$93)</f>
        <v/>
      </c>
      <c r="K66" s="3">
        <f>H66-(I66+J66)</f>
        <v/>
      </c>
      <c r="L66" s="3">
        <f>EXP(H66)-1</f>
        <v/>
      </c>
      <c r="M66" s="3">
        <f>EXP(I66)-1</f>
        <v/>
      </c>
      <c r="N66" s="3">
        <f>EXP(J66)-1</f>
        <v/>
      </c>
    </row>
    <row r="67">
      <c r="A67" s="3">
        <f>Dados!B67</f>
        <v/>
      </c>
      <c r="B67" s="3">
        <f>Dados!E67/Dados!D67</f>
        <v/>
      </c>
      <c r="C67" s="3">
        <f>Dados!F67/Dados!D67</f>
        <v/>
      </c>
      <c r="D67" s="3">
        <f>Dados!E67/Dados!F67</f>
        <v/>
      </c>
      <c r="E67" s="3">
        <f>LN(B67)</f>
        <v/>
      </c>
      <c r="F67" s="3">
        <f>LN(C67)</f>
        <v/>
      </c>
      <c r="G67" s="3">
        <f>LN(D67)</f>
        <v/>
      </c>
      <c r="H67" s="3">
        <f>E67-AVERAGE(E$2:E$93)</f>
        <v/>
      </c>
      <c r="I67" s="3">
        <f>F67-AVERAGE(F$2:F$93)</f>
        <v/>
      </c>
      <c r="J67" s="3">
        <f>G67-AVERAGE(G$2:G$93)</f>
        <v/>
      </c>
      <c r="K67" s="3">
        <f>H67-(I67+J67)</f>
        <v/>
      </c>
      <c r="L67" s="3">
        <f>EXP(H67)-1</f>
        <v/>
      </c>
      <c r="M67" s="3">
        <f>EXP(I67)-1</f>
        <v/>
      </c>
      <c r="N67" s="3">
        <f>EXP(J67)-1</f>
        <v/>
      </c>
    </row>
    <row r="68">
      <c r="A68" s="3">
        <f>Dados!B68</f>
        <v/>
      </c>
      <c r="B68" s="3">
        <f>Dados!E68/Dados!D68</f>
        <v/>
      </c>
      <c r="C68" s="3">
        <f>Dados!F68/Dados!D68</f>
        <v/>
      </c>
      <c r="D68" s="3">
        <f>Dados!E68/Dados!F68</f>
        <v/>
      </c>
      <c r="E68" s="3">
        <f>LN(B68)</f>
        <v/>
      </c>
      <c r="F68" s="3">
        <f>LN(C68)</f>
        <v/>
      </c>
      <c r="G68" s="3">
        <f>LN(D68)</f>
        <v/>
      </c>
      <c r="H68" s="3">
        <f>E68-AVERAGE(E$2:E$93)</f>
        <v/>
      </c>
      <c r="I68" s="3">
        <f>F68-AVERAGE(F$2:F$93)</f>
        <v/>
      </c>
      <c r="J68" s="3">
        <f>G68-AVERAGE(G$2:G$93)</f>
        <v/>
      </c>
      <c r="K68" s="3">
        <f>H68-(I68+J68)</f>
        <v/>
      </c>
      <c r="L68" s="3">
        <f>EXP(H68)-1</f>
        <v/>
      </c>
      <c r="M68" s="3">
        <f>EXP(I68)-1</f>
        <v/>
      </c>
      <c r="N68" s="3">
        <f>EXP(J68)-1</f>
        <v/>
      </c>
    </row>
    <row r="69">
      <c r="A69" s="3">
        <f>Dados!B69</f>
        <v/>
      </c>
      <c r="B69" s="3">
        <f>Dados!E69/Dados!D69</f>
        <v/>
      </c>
      <c r="C69" s="3">
        <f>Dados!F69/Dados!D69</f>
        <v/>
      </c>
      <c r="D69" s="3">
        <f>Dados!E69/Dados!F69</f>
        <v/>
      </c>
      <c r="E69" s="3">
        <f>LN(B69)</f>
        <v/>
      </c>
      <c r="F69" s="3">
        <f>LN(C69)</f>
        <v/>
      </c>
      <c r="G69" s="3">
        <f>LN(D69)</f>
        <v/>
      </c>
      <c r="H69" s="3">
        <f>E69-AVERAGE(E$2:E$93)</f>
        <v/>
      </c>
      <c r="I69" s="3">
        <f>F69-AVERAGE(F$2:F$93)</f>
        <v/>
      </c>
      <c r="J69" s="3">
        <f>G69-AVERAGE(G$2:G$93)</f>
        <v/>
      </c>
      <c r="K69" s="3">
        <f>H69-(I69+J69)</f>
        <v/>
      </c>
      <c r="L69" s="3">
        <f>EXP(H69)-1</f>
        <v/>
      </c>
      <c r="M69" s="3">
        <f>EXP(I69)-1</f>
        <v/>
      </c>
      <c r="N69" s="3">
        <f>EXP(J69)-1</f>
        <v/>
      </c>
    </row>
    <row r="70">
      <c r="A70" s="3">
        <f>Dados!B70</f>
        <v/>
      </c>
      <c r="B70" s="3">
        <f>Dados!E70/Dados!D70</f>
        <v/>
      </c>
      <c r="C70" s="3">
        <f>Dados!F70/Dados!D70</f>
        <v/>
      </c>
      <c r="D70" s="3">
        <f>Dados!E70/Dados!F70</f>
        <v/>
      </c>
      <c r="E70" s="3">
        <f>LN(B70)</f>
        <v/>
      </c>
      <c r="F70" s="3">
        <f>LN(C70)</f>
        <v/>
      </c>
      <c r="G70" s="3">
        <f>LN(D70)</f>
        <v/>
      </c>
      <c r="H70" s="3">
        <f>E70-AVERAGE(E$2:E$93)</f>
        <v/>
      </c>
      <c r="I70" s="3">
        <f>F70-AVERAGE(F$2:F$93)</f>
        <v/>
      </c>
      <c r="J70" s="3">
        <f>G70-AVERAGE(G$2:G$93)</f>
        <v/>
      </c>
      <c r="K70" s="3">
        <f>H70-(I70+J70)</f>
        <v/>
      </c>
      <c r="L70" s="3">
        <f>EXP(H70)-1</f>
        <v/>
      </c>
      <c r="M70" s="3">
        <f>EXP(I70)-1</f>
        <v/>
      </c>
      <c r="N70" s="3">
        <f>EXP(J70)-1</f>
        <v/>
      </c>
    </row>
    <row r="71">
      <c r="A71" s="3">
        <f>Dados!B71</f>
        <v/>
      </c>
      <c r="B71" s="3">
        <f>Dados!E71/Dados!D71</f>
        <v/>
      </c>
      <c r="C71" s="3">
        <f>Dados!F71/Dados!D71</f>
        <v/>
      </c>
      <c r="D71" s="3">
        <f>Dados!E71/Dados!F71</f>
        <v/>
      </c>
      <c r="E71" s="3">
        <f>LN(B71)</f>
        <v/>
      </c>
      <c r="F71" s="3">
        <f>LN(C71)</f>
        <v/>
      </c>
      <c r="G71" s="3">
        <f>LN(D71)</f>
        <v/>
      </c>
      <c r="H71" s="3">
        <f>E71-AVERAGE(E$2:E$93)</f>
        <v/>
      </c>
      <c r="I71" s="3">
        <f>F71-AVERAGE(F$2:F$93)</f>
        <v/>
      </c>
      <c r="J71" s="3">
        <f>G71-AVERAGE(G$2:G$93)</f>
        <v/>
      </c>
      <c r="K71" s="3">
        <f>H71-(I71+J71)</f>
        <v/>
      </c>
      <c r="L71" s="3">
        <f>EXP(H71)-1</f>
        <v/>
      </c>
      <c r="M71" s="3">
        <f>EXP(I71)-1</f>
        <v/>
      </c>
      <c r="N71" s="3">
        <f>EXP(J71)-1</f>
        <v/>
      </c>
    </row>
    <row r="72">
      <c r="A72" s="3">
        <f>Dados!B72</f>
        <v/>
      </c>
      <c r="B72" s="3">
        <f>Dados!E72/Dados!D72</f>
        <v/>
      </c>
      <c r="C72" s="3">
        <f>Dados!F72/Dados!D72</f>
        <v/>
      </c>
      <c r="D72" s="3">
        <f>Dados!E72/Dados!F72</f>
        <v/>
      </c>
      <c r="E72" s="3">
        <f>LN(B72)</f>
        <v/>
      </c>
      <c r="F72" s="3">
        <f>LN(C72)</f>
        <v/>
      </c>
      <c r="G72" s="3">
        <f>LN(D72)</f>
        <v/>
      </c>
      <c r="H72" s="3">
        <f>E72-AVERAGE(E$2:E$93)</f>
        <v/>
      </c>
      <c r="I72" s="3">
        <f>F72-AVERAGE(F$2:F$93)</f>
        <v/>
      </c>
      <c r="J72" s="3">
        <f>G72-AVERAGE(G$2:G$93)</f>
        <v/>
      </c>
      <c r="K72" s="3">
        <f>H72-(I72+J72)</f>
        <v/>
      </c>
      <c r="L72" s="3">
        <f>EXP(H72)-1</f>
        <v/>
      </c>
      <c r="M72" s="3">
        <f>EXP(I72)-1</f>
        <v/>
      </c>
      <c r="N72" s="3">
        <f>EXP(J72)-1</f>
        <v/>
      </c>
    </row>
    <row r="73">
      <c r="A73" s="3">
        <f>Dados!B73</f>
        <v/>
      </c>
      <c r="B73" s="3">
        <f>Dados!E73/Dados!D73</f>
        <v/>
      </c>
      <c r="C73" s="3">
        <f>Dados!F73/Dados!D73</f>
        <v/>
      </c>
      <c r="D73" s="3">
        <f>Dados!E73/Dados!F73</f>
        <v/>
      </c>
      <c r="E73" s="3">
        <f>LN(B73)</f>
        <v/>
      </c>
      <c r="F73" s="3">
        <f>LN(C73)</f>
        <v/>
      </c>
      <c r="G73" s="3">
        <f>LN(D73)</f>
        <v/>
      </c>
      <c r="H73" s="3">
        <f>E73-AVERAGE(E$2:E$93)</f>
        <v/>
      </c>
      <c r="I73" s="3">
        <f>F73-AVERAGE(F$2:F$93)</f>
        <v/>
      </c>
      <c r="J73" s="3">
        <f>G73-AVERAGE(G$2:G$93)</f>
        <v/>
      </c>
      <c r="K73" s="3">
        <f>H73-(I73+J73)</f>
        <v/>
      </c>
      <c r="L73" s="3">
        <f>EXP(H73)-1</f>
        <v/>
      </c>
      <c r="M73" s="3">
        <f>EXP(I73)-1</f>
        <v/>
      </c>
      <c r="N73" s="3">
        <f>EXP(J73)-1</f>
        <v/>
      </c>
    </row>
    <row r="74">
      <c r="A74" s="3">
        <f>Dados!B74</f>
        <v/>
      </c>
      <c r="B74" s="3">
        <f>Dados!E74/Dados!D74</f>
        <v/>
      </c>
      <c r="C74" s="3">
        <f>Dados!F74/Dados!D74</f>
        <v/>
      </c>
      <c r="D74" s="3">
        <f>Dados!E74/Dados!F74</f>
        <v/>
      </c>
      <c r="E74" s="3">
        <f>LN(B74)</f>
        <v/>
      </c>
      <c r="F74" s="3">
        <f>LN(C74)</f>
        <v/>
      </c>
      <c r="G74" s="3">
        <f>LN(D74)</f>
        <v/>
      </c>
      <c r="H74" s="3">
        <f>E74-AVERAGE(E$2:E$93)</f>
        <v/>
      </c>
      <c r="I74" s="3">
        <f>F74-AVERAGE(F$2:F$93)</f>
        <v/>
      </c>
      <c r="J74" s="3">
        <f>G74-AVERAGE(G$2:G$93)</f>
        <v/>
      </c>
      <c r="K74" s="3">
        <f>H74-(I74+J74)</f>
        <v/>
      </c>
      <c r="L74" s="3">
        <f>EXP(H74)-1</f>
        <v/>
      </c>
      <c r="M74" s="3">
        <f>EXP(I74)-1</f>
        <v/>
      </c>
      <c r="N74" s="3">
        <f>EXP(J74)-1</f>
        <v/>
      </c>
    </row>
    <row r="75">
      <c r="A75" s="3">
        <f>Dados!B75</f>
        <v/>
      </c>
      <c r="B75" s="3">
        <f>Dados!E75/Dados!D75</f>
        <v/>
      </c>
      <c r="C75" s="3">
        <f>Dados!F75/Dados!D75</f>
        <v/>
      </c>
      <c r="D75" s="3">
        <f>Dados!E75/Dados!F75</f>
        <v/>
      </c>
      <c r="E75" s="3">
        <f>LN(B75)</f>
        <v/>
      </c>
      <c r="F75" s="3">
        <f>LN(C75)</f>
        <v/>
      </c>
      <c r="G75" s="3">
        <f>LN(D75)</f>
        <v/>
      </c>
      <c r="H75" s="3">
        <f>E75-AVERAGE(E$2:E$93)</f>
        <v/>
      </c>
      <c r="I75" s="3">
        <f>F75-AVERAGE(F$2:F$93)</f>
        <v/>
      </c>
      <c r="J75" s="3">
        <f>G75-AVERAGE(G$2:G$93)</f>
        <v/>
      </c>
      <c r="K75" s="3">
        <f>H75-(I75+J75)</f>
        <v/>
      </c>
      <c r="L75" s="3">
        <f>EXP(H75)-1</f>
        <v/>
      </c>
      <c r="M75" s="3">
        <f>EXP(I75)-1</f>
        <v/>
      </c>
      <c r="N75" s="3">
        <f>EXP(J75)-1</f>
        <v/>
      </c>
    </row>
    <row r="76">
      <c r="A76" s="3">
        <f>Dados!B76</f>
        <v/>
      </c>
      <c r="B76" s="3">
        <f>Dados!E76/Dados!D76</f>
        <v/>
      </c>
      <c r="C76" s="3">
        <f>Dados!F76/Dados!D76</f>
        <v/>
      </c>
      <c r="D76" s="3">
        <f>Dados!E76/Dados!F76</f>
        <v/>
      </c>
      <c r="E76" s="3">
        <f>LN(B76)</f>
        <v/>
      </c>
      <c r="F76" s="3">
        <f>LN(C76)</f>
        <v/>
      </c>
      <c r="G76" s="3">
        <f>LN(D76)</f>
        <v/>
      </c>
      <c r="H76" s="3">
        <f>E76-AVERAGE(E$2:E$93)</f>
        <v/>
      </c>
      <c r="I76" s="3">
        <f>F76-AVERAGE(F$2:F$93)</f>
        <v/>
      </c>
      <c r="J76" s="3">
        <f>G76-AVERAGE(G$2:G$93)</f>
        <v/>
      </c>
      <c r="K76" s="3">
        <f>H76-(I76+J76)</f>
        <v/>
      </c>
      <c r="L76" s="3">
        <f>EXP(H76)-1</f>
        <v/>
      </c>
      <c r="M76" s="3">
        <f>EXP(I76)-1</f>
        <v/>
      </c>
      <c r="N76" s="3">
        <f>EXP(J76)-1</f>
        <v/>
      </c>
    </row>
    <row r="77">
      <c r="A77" s="3">
        <f>Dados!B77</f>
        <v/>
      </c>
      <c r="B77" s="3">
        <f>Dados!E77/Dados!D77</f>
        <v/>
      </c>
      <c r="C77" s="3">
        <f>Dados!F77/Dados!D77</f>
        <v/>
      </c>
      <c r="D77" s="3">
        <f>Dados!E77/Dados!F77</f>
        <v/>
      </c>
      <c r="E77" s="3">
        <f>LN(B77)</f>
        <v/>
      </c>
      <c r="F77" s="3">
        <f>LN(C77)</f>
        <v/>
      </c>
      <c r="G77" s="3">
        <f>LN(D77)</f>
        <v/>
      </c>
      <c r="H77" s="3">
        <f>E77-AVERAGE(E$2:E$93)</f>
        <v/>
      </c>
      <c r="I77" s="3">
        <f>F77-AVERAGE(F$2:F$93)</f>
        <v/>
      </c>
      <c r="J77" s="3">
        <f>G77-AVERAGE(G$2:G$93)</f>
        <v/>
      </c>
      <c r="K77" s="3">
        <f>H77-(I77+J77)</f>
        <v/>
      </c>
      <c r="L77" s="3">
        <f>EXP(H77)-1</f>
        <v/>
      </c>
      <c r="M77" s="3">
        <f>EXP(I77)-1</f>
        <v/>
      </c>
      <c r="N77" s="3">
        <f>EXP(J77)-1</f>
        <v/>
      </c>
    </row>
    <row r="78">
      <c r="A78" s="3">
        <f>Dados!B78</f>
        <v/>
      </c>
      <c r="B78" s="3">
        <f>Dados!E78/Dados!D78</f>
        <v/>
      </c>
      <c r="C78" s="3">
        <f>Dados!F78/Dados!D78</f>
        <v/>
      </c>
      <c r="D78" s="3">
        <f>Dados!E78/Dados!F78</f>
        <v/>
      </c>
      <c r="E78" s="3">
        <f>LN(B78)</f>
        <v/>
      </c>
      <c r="F78" s="3">
        <f>LN(C78)</f>
        <v/>
      </c>
      <c r="G78" s="3">
        <f>LN(D78)</f>
        <v/>
      </c>
      <c r="H78" s="3">
        <f>E78-AVERAGE(E$2:E$93)</f>
        <v/>
      </c>
      <c r="I78" s="3">
        <f>F78-AVERAGE(F$2:F$93)</f>
        <v/>
      </c>
      <c r="J78" s="3">
        <f>G78-AVERAGE(G$2:G$93)</f>
        <v/>
      </c>
      <c r="K78" s="3">
        <f>H78-(I78+J78)</f>
        <v/>
      </c>
      <c r="L78" s="3">
        <f>EXP(H78)-1</f>
        <v/>
      </c>
      <c r="M78" s="3">
        <f>EXP(I78)-1</f>
        <v/>
      </c>
      <c r="N78" s="3">
        <f>EXP(J78)-1</f>
        <v/>
      </c>
    </row>
    <row r="79">
      <c r="A79" s="3">
        <f>Dados!B79</f>
        <v/>
      </c>
      <c r="B79" s="3">
        <f>Dados!E79/Dados!D79</f>
        <v/>
      </c>
      <c r="C79" s="3">
        <f>Dados!F79/Dados!D79</f>
        <v/>
      </c>
      <c r="D79" s="3">
        <f>Dados!E79/Dados!F79</f>
        <v/>
      </c>
      <c r="E79" s="3">
        <f>LN(B79)</f>
        <v/>
      </c>
      <c r="F79" s="3">
        <f>LN(C79)</f>
        <v/>
      </c>
      <c r="G79" s="3">
        <f>LN(D79)</f>
        <v/>
      </c>
      <c r="H79" s="3">
        <f>E79-AVERAGE(E$2:E$93)</f>
        <v/>
      </c>
      <c r="I79" s="3">
        <f>F79-AVERAGE(F$2:F$93)</f>
        <v/>
      </c>
      <c r="J79" s="3">
        <f>G79-AVERAGE(G$2:G$93)</f>
        <v/>
      </c>
      <c r="K79" s="3">
        <f>H79-(I79+J79)</f>
        <v/>
      </c>
      <c r="L79" s="3">
        <f>EXP(H79)-1</f>
        <v/>
      </c>
      <c r="M79" s="3">
        <f>EXP(I79)-1</f>
        <v/>
      </c>
      <c r="N79" s="3">
        <f>EXP(J79)-1</f>
        <v/>
      </c>
    </row>
    <row r="80">
      <c r="A80" s="3">
        <f>Dados!B80</f>
        <v/>
      </c>
      <c r="B80" s="3">
        <f>Dados!E80/Dados!D80</f>
        <v/>
      </c>
      <c r="C80" s="3">
        <f>Dados!F80/Dados!D80</f>
        <v/>
      </c>
      <c r="D80" s="3">
        <f>Dados!E80/Dados!F80</f>
        <v/>
      </c>
      <c r="E80" s="3">
        <f>LN(B80)</f>
        <v/>
      </c>
      <c r="F80" s="3">
        <f>LN(C80)</f>
        <v/>
      </c>
      <c r="G80" s="3">
        <f>LN(D80)</f>
        <v/>
      </c>
      <c r="H80" s="3">
        <f>E80-AVERAGE(E$2:E$93)</f>
        <v/>
      </c>
      <c r="I80" s="3">
        <f>F80-AVERAGE(F$2:F$93)</f>
        <v/>
      </c>
      <c r="J80" s="3">
        <f>G80-AVERAGE(G$2:G$93)</f>
        <v/>
      </c>
      <c r="K80" s="3">
        <f>H80-(I80+J80)</f>
        <v/>
      </c>
      <c r="L80" s="3">
        <f>EXP(H80)-1</f>
        <v/>
      </c>
      <c r="M80" s="3">
        <f>EXP(I80)-1</f>
        <v/>
      </c>
      <c r="N80" s="3">
        <f>EXP(J80)-1</f>
        <v/>
      </c>
    </row>
    <row r="81">
      <c r="A81" s="3">
        <f>Dados!B81</f>
        <v/>
      </c>
      <c r="B81" s="3">
        <f>Dados!E81/Dados!D81</f>
        <v/>
      </c>
      <c r="C81" s="3">
        <f>Dados!F81/Dados!D81</f>
        <v/>
      </c>
      <c r="D81" s="3">
        <f>Dados!E81/Dados!F81</f>
        <v/>
      </c>
      <c r="E81" s="3">
        <f>LN(B81)</f>
        <v/>
      </c>
      <c r="F81" s="3">
        <f>LN(C81)</f>
        <v/>
      </c>
      <c r="G81" s="3">
        <f>LN(D81)</f>
        <v/>
      </c>
      <c r="H81" s="3">
        <f>E81-AVERAGE(E$2:E$93)</f>
        <v/>
      </c>
      <c r="I81" s="3">
        <f>F81-AVERAGE(F$2:F$93)</f>
        <v/>
      </c>
      <c r="J81" s="3">
        <f>G81-AVERAGE(G$2:G$93)</f>
        <v/>
      </c>
      <c r="K81" s="3">
        <f>H81-(I81+J81)</f>
        <v/>
      </c>
      <c r="L81" s="3">
        <f>EXP(H81)-1</f>
        <v/>
      </c>
      <c r="M81" s="3">
        <f>EXP(I81)-1</f>
        <v/>
      </c>
      <c r="N81" s="3">
        <f>EXP(J81)-1</f>
        <v/>
      </c>
    </row>
    <row r="82">
      <c r="A82" s="3">
        <f>Dados!B82</f>
        <v/>
      </c>
      <c r="B82" s="3">
        <f>Dados!E82/Dados!D82</f>
        <v/>
      </c>
      <c r="C82" s="3">
        <f>Dados!F82/Dados!D82</f>
        <v/>
      </c>
      <c r="D82" s="3">
        <f>Dados!E82/Dados!F82</f>
        <v/>
      </c>
      <c r="E82" s="3">
        <f>LN(B82)</f>
        <v/>
      </c>
      <c r="F82" s="3">
        <f>LN(C82)</f>
        <v/>
      </c>
      <c r="G82" s="3">
        <f>LN(D82)</f>
        <v/>
      </c>
      <c r="H82" s="3">
        <f>E82-AVERAGE(E$2:E$93)</f>
        <v/>
      </c>
      <c r="I82" s="3">
        <f>F82-AVERAGE(F$2:F$93)</f>
        <v/>
      </c>
      <c r="J82" s="3">
        <f>G82-AVERAGE(G$2:G$93)</f>
        <v/>
      </c>
      <c r="K82" s="3">
        <f>H82-(I82+J82)</f>
        <v/>
      </c>
      <c r="L82" s="3">
        <f>EXP(H82)-1</f>
        <v/>
      </c>
      <c r="M82" s="3">
        <f>EXP(I82)-1</f>
        <v/>
      </c>
      <c r="N82" s="3">
        <f>EXP(J82)-1</f>
        <v/>
      </c>
    </row>
    <row r="83">
      <c r="A83" s="3">
        <f>Dados!B83</f>
        <v/>
      </c>
      <c r="B83" s="3">
        <f>Dados!E83/Dados!D83</f>
        <v/>
      </c>
      <c r="C83" s="3">
        <f>Dados!F83/Dados!D83</f>
        <v/>
      </c>
      <c r="D83" s="3">
        <f>Dados!E83/Dados!F83</f>
        <v/>
      </c>
      <c r="E83" s="3">
        <f>LN(B83)</f>
        <v/>
      </c>
      <c r="F83" s="3">
        <f>LN(C83)</f>
        <v/>
      </c>
      <c r="G83" s="3">
        <f>LN(D83)</f>
        <v/>
      </c>
      <c r="H83" s="3">
        <f>E83-AVERAGE(E$2:E$93)</f>
        <v/>
      </c>
      <c r="I83" s="3">
        <f>F83-AVERAGE(F$2:F$93)</f>
        <v/>
      </c>
      <c r="J83" s="3">
        <f>G83-AVERAGE(G$2:G$93)</f>
        <v/>
      </c>
      <c r="K83" s="3">
        <f>H83-(I83+J83)</f>
        <v/>
      </c>
      <c r="L83" s="3">
        <f>EXP(H83)-1</f>
        <v/>
      </c>
      <c r="M83" s="3">
        <f>EXP(I83)-1</f>
        <v/>
      </c>
      <c r="N83" s="3">
        <f>EXP(J83)-1</f>
        <v/>
      </c>
    </row>
    <row r="84">
      <c r="A84" s="3">
        <f>Dados!B84</f>
        <v/>
      </c>
      <c r="B84" s="3">
        <f>Dados!E84/Dados!D84</f>
        <v/>
      </c>
      <c r="C84" s="3">
        <f>Dados!F84/Dados!D84</f>
        <v/>
      </c>
      <c r="D84" s="3">
        <f>Dados!E84/Dados!F84</f>
        <v/>
      </c>
      <c r="E84" s="3">
        <f>LN(B84)</f>
        <v/>
      </c>
      <c r="F84" s="3">
        <f>LN(C84)</f>
        <v/>
      </c>
      <c r="G84" s="3">
        <f>LN(D84)</f>
        <v/>
      </c>
      <c r="H84" s="3">
        <f>E84-AVERAGE(E$2:E$93)</f>
        <v/>
      </c>
      <c r="I84" s="3">
        <f>F84-AVERAGE(F$2:F$93)</f>
        <v/>
      </c>
      <c r="J84" s="3">
        <f>G84-AVERAGE(G$2:G$93)</f>
        <v/>
      </c>
      <c r="K84" s="3">
        <f>H84-(I84+J84)</f>
        <v/>
      </c>
      <c r="L84" s="3">
        <f>EXP(H84)-1</f>
        <v/>
      </c>
      <c r="M84" s="3">
        <f>EXP(I84)-1</f>
        <v/>
      </c>
      <c r="N84" s="3">
        <f>EXP(J84)-1</f>
        <v/>
      </c>
    </row>
    <row r="85">
      <c r="A85" s="3">
        <f>Dados!B85</f>
        <v/>
      </c>
      <c r="B85" s="3">
        <f>Dados!E85/Dados!D85</f>
        <v/>
      </c>
      <c r="C85" s="3">
        <f>Dados!F85/Dados!D85</f>
        <v/>
      </c>
      <c r="D85" s="3">
        <f>Dados!E85/Dados!F85</f>
        <v/>
      </c>
      <c r="E85" s="3">
        <f>LN(B85)</f>
        <v/>
      </c>
      <c r="F85" s="3">
        <f>LN(C85)</f>
        <v/>
      </c>
      <c r="G85" s="3">
        <f>LN(D85)</f>
        <v/>
      </c>
      <c r="H85" s="3">
        <f>E85-AVERAGE(E$2:E$93)</f>
        <v/>
      </c>
      <c r="I85" s="3">
        <f>F85-AVERAGE(F$2:F$93)</f>
        <v/>
      </c>
      <c r="J85" s="3">
        <f>G85-AVERAGE(G$2:G$93)</f>
        <v/>
      </c>
      <c r="K85" s="3">
        <f>H85-(I85+J85)</f>
        <v/>
      </c>
      <c r="L85" s="3">
        <f>EXP(H85)-1</f>
        <v/>
      </c>
      <c r="M85" s="3">
        <f>EXP(I85)-1</f>
        <v/>
      </c>
      <c r="N85" s="3">
        <f>EXP(J85)-1</f>
        <v/>
      </c>
    </row>
    <row r="86">
      <c r="A86" s="3">
        <f>Dados!B86</f>
        <v/>
      </c>
      <c r="B86" s="3">
        <f>Dados!E86/Dados!D86</f>
        <v/>
      </c>
      <c r="C86" s="3">
        <f>Dados!F86/Dados!D86</f>
        <v/>
      </c>
      <c r="D86" s="3">
        <f>Dados!E86/Dados!F86</f>
        <v/>
      </c>
      <c r="E86" s="3">
        <f>LN(B86)</f>
        <v/>
      </c>
      <c r="F86" s="3">
        <f>LN(C86)</f>
        <v/>
      </c>
      <c r="G86" s="3">
        <f>LN(D86)</f>
        <v/>
      </c>
      <c r="H86" s="3">
        <f>E86-AVERAGE(E$2:E$93)</f>
        <v/>
      </c>
      <c r="I86" s="3">
        <f>F86-AVERAGE(F$2:F$93)</f>
        <v/>
      </c>
      <c r="J86" s="3">
        <f>G86-AVERAGE(G$2:G$93)</f>
        <v/>
      </c>
      <c r="K86" s="3">
        <f>H86-(I86+J86)</f>
        <v/>
      </c>
      <c r="L86" s="3">
        <f>EXP(H86)-1</f>
        <v/>
      </c>
      <c r="M86" s="3">
        <f>EXP(I86)-1</f>
        <v/>
      </c>
      <c r="N86" s="3">
        <f>EXP(J86)-1</f>
        <v/>
      </c>
    </row>
    <row r="87">
      <c r="A87" s="3">
        <f>Dados!B87</f>
        <v/>
      </c>
      <c r="B87" s="3">
        <f>Dados!E87/Dados!D87</f>
        <v/>
      </c>
      <c r="C87" s="3">
        <f>Dados!F87/Dados!D87</f>
        <v/>
      </c>
      <c r="D87" s="3">
        <f>Dados!E87/Dados!F87</f>
        <v/>
      </c>
      <c r="E87" s="3">
        <f>LN(B87)</f>
        <v/>
      </c>
      <c r="F87" s="3">
        <f>LN(C87)</f>
        <v/>
      </c>
      <c r="G87" s="3">
        <f>LN(D87)</f>
        <v/>
      </c>
      <c r="H87" s="3">
        <f>E87-AVERAGE(E$2:E$93)</f>
        <v/>
      </c>
      <c r="I87" s="3">
        <f>F87-AVERAGE(F$2:F$93)</f>
        <v/>
      </c>
      <c r="J87" s="3">
        <f>G87-AVERAGE(G$2:G$93)</f>
        <v/>
      </c>
      <c r="K87" s="3">
        <f>H87-(I87+J87)</f>
        <v/>
      </c>
      <c r="L87" s="3">
        <f>EXP(H87)-1</f>
        <v/>
      </c>
      <c r="M87" s="3">
        <f>EXP(I87)-1</f>
        <v/>
      </c>
      <c r="N87" s="3">
        <f>EXP(J87)-1</f>
        <v/>
      </c>
    </row>
    <row r="88">
      <c r="A88" s="3">
        <f>Dados!B88</f>
        <v/>
      </c>
      <c r="B88" s="3">
        <f>Dados!E88/Dados!D88</f>
        <v/>
      </c>
      <c r="C88" s="3">
        <f>Dados!F88/Dados!D88</f>
        <v/>
      </c>
      <c r="D88" s="3">
        <f>Dados!E88/Dados!F88</f>
        <v/>
      </c>
      <c r="E88" s="3">
        <f>LN(B88)</f>
        <v/>
      </c>
      <c r="F88" s="3">
        <f>LN(C88)</f>
        <v/>
      </c>
      <c r="G88" s="3">
        <f>LN(D88)</f>
        <v/>
      </c>
      <c r="H88" s="3">
        <f>E88-AVERAGE(E$2:E$93)</f>
        <v/>
      </c>
      <c r="I88" s="3">
        <f>F88-AVERAGE(F$2:F$93)</f>
        <v/>
      </c>
      <c r="J88" s="3">
        <f>G88-AVERAGE(G$2:G$93)</f>
        <v/>
      </c>
      <c r="K88" s="3">
        <f>H88-(I88+J88)</f>
        <v/>
      </c>
      <c r="L88" s="3">
        <f>EXP(H88)-1</f>
        <v/>
      </c>
      <c r="M88" s="3">
        <f>EXP(I88)-1</f>
        <v/>
      </c>
      <c r="N88" s="3">
        <f>EXP(J88)-1</f>
        <v/>
      </c>
    </row>
    <row r="89">
      <c r="A89" s="3">
        <f>Dados!B89</f>
        <v/>
      </c>
      <c r="B89" s="3">
        <f>Dados!E89/Dados!D89</f>
        <v/>
      </c>
      <c r="C89" s="3">
        <f>Dados!F89/Dados!D89</f>
        <v/>
      </c>
      <c r="D89" s="3">
        <f>Dados!E89/Dados!F89</f>
        <v/>
      </c>
      <c r="E89" s="3">
        <f>LN(B89)</f>
        <v/>
      </c>
      <c r="F89" s="3">
        <f>LN(C89)</f>
        <v/>
      </c>
      <c r="G89" s="3">
        <f>LN(D89)</f>
        <v/>
      </c>
      <c r="H89" s="3">
        <f>E89-AVERAGE(E$2:E$93)</f>
        <v/>
      </c>
      <c r="I89" s="3">
        <f>F89-AVERAGE(F$2:F$93)</f>
        <v/>
      </c>
      <c r="J89" s="3">
        <f>G89-AVERAGE(G$2:G$93)</f>
        <v/>
      </c>
      <c r="K89" s="3">
        <f>H89-(I89+J89)</f>
        <v/>
      </c>
      <c r="L89" s="3">
        <f>EXP(H89)-1</f>
        <v/>
      </c>
      <c r="M89" s="3">
        <f>EXP(I89)-1</f>
        <v/>
      </c>
      <c r="N89" s="3">
        <f>EXP(J89)-1</f>
        <v/>
      </c>
    </row>
    <row r="90">
      <c r="A90" s="3">
        <f>Dados!B90</f>
        <v/>
      </c>
      <c r="B90" s="3">
        <f>Dados!E90/Dados!D90</f>
        <v/>
      </c>
      <c r="C90" s="3">
        <f>Dados!F90/Dados!D90</f>
        <v/>
      </c>
      <c r="D90" s="3">
        <f>Dados!E90/Dados!F90</f>
        <v/>
      </c>
      <c r="E90" s="3">
        <f>LN(B90)</f>
        <v/>
      </c>
      <c r="F90" s="3">
        <f>LN(C90)</f>
        <v/>
      </c>
      <c r="G90" s="3">
        <f>LN(D90)</f>
        <v/>
      </c>
      <c r="H90" s="3">
        <f>E90-AVERAGE(E$2:E$93)</f>
        <v/>
      </c>
      <c r="I90" s="3">
        <f>F90-AVERAGE(F$2:F$93)</f>
        <v/>
      </c>
      <c r="J90" s="3">
        <f>G90-AVERAGE(G$2:G$93)</f>
        <v/>
      </c>
      <c r="K90" s="3">
        <f>H90-(I90+J90)</f>
        <v/>
      </c>
      <c r="L90" s="3">
        <f>EXP(H90)-1</f>
        <v/>
      </c>
      <c r="M90" s="3">
        <f>EXP(I90)-1</f>
        <v/>
      </c>
      <c r="N90" s="3">
        <f>EXP(J90)-1</f>
        <v/>
      </c>
    </row>
    <row r="91">
      <c r="A91" s="3">
        <f>Dados!B91</f>
        <v/>
      </c>
      <c r="B91" s="3">
        <f>Dados!E91/Dados!D91</f>
        <v/>
      </c>
      <c r="C91" s="3">
        <f>Dados!F91/Dados!D91</f>
        <v/>
      </c>
      <c r="D91" s="3">
        <f>Dados!E91/Dados!F91</f>
        <v/>
      </c>
      <c r="E91" s="3">
        <f>LN(B91)</f>
        <v/>
      </c>
      <c r="F91" s="3">
        <f>LN(C91)</f>
        <v/>
      </c>
      <c r="G91" s="3">
        <f>LN(D91)</f>
        <v/>
      </c>
      <c r="H91" s="3">
        <f>E91-AVERAGE(E$2:E$93)</f>
        <v/>
      </c>
      <c r="I91" s="3">
        <f>F91-AVERAGE(F$2:F$93)</f>
        <v/>
      </c>
      <c r="J91" s="3">
        <f>G91-AVERAGE(G$2:G$93)</f>
        <v/>
      </c>
      <c r="K91" s="3">
        <f>H91-(I91+J91)</f>
        <v/>
      </c>
      <c r="L91" s="3">
        <f>EXP(H91)-1</f>
        <v/>
      </c>
      <c r="M91" s="3">
        <f>EXP(I91)-1</f>
        <v/>
      </c>
      <c r="N91" s="3">
        <f>EXP(J91)-1</f>
        <v/>
      </c>
    </row>
    <row r="92">
      <c r="A92" s="3">
        <f>Dados!B92</f>
        <v/>
      </c>
      <c r="B92" s="3">
        <f>Dados!E92/Dados!D92</f>
        <v/>
      </c>
      <c r="C92" s="3">
        <f>Dados!F92/Dados!D92</f>
        <v/>
      </c>
      <c r="D92" s="3">
        <f>Dados!E92/Dados!F92</f>
        <v/>
      </c>
      <c r="E92" s="3">
        <f>LN(B92)</f>
        <v/>
      </c>
      <c r="F92" s="3">
        <f>LN(C92)</f>
        <v/>
      </c>
      <c r="G92" s="3">
        <f>LN(D92)</f>
        <v/>
      </c>
      <c r="H92" s="3">
        <f>E92-AVERAGE(E$2:E$93)</f>
        <v/>
      </c>
      <c r="I92" s="3">
        <f>F92-AVERAGE(F$2:F$93)</f>
        <v/>
      </c>
      <c r="J92" s="3">
        <f>G92-AVERAGE(G$2:G$93)</f>
        <v/>
      </c>
      <c r="K92" s="3">
        <f>H92-(I92+J92)</f>
        <v/>
      </c>
      <c r="L92" s="3">
        <f>EXP(H92)-1</f>
        <v/>
      </c>
      <c r="M92" s="3">
        <f>EXP(I92)-1</f>
        <v/>
      </c>
      <c r="N92" s="3">
        <f>EXP(J92)-1</f>
        <v/>
      </c>
    </row>
    <row r="93">
      <c r="A93" s="3">
        <f>Dados!B93</f>
        <v/>
      </c>
      <c r="B93" s="3">
        <f>Dados!E93/Dados!D93</f>
        <v/>
      </c>
      <c r="C93" s="3">
        <f>Dados!F93/Dados!D93</f>
        <v/>
      </c>
      <c r="D93" s="3">
        <f>Dados!E93/Dados!F93</f>
        <v/>
      </c>
      <c r="E93" s="3">
        <f>LN(B93)</f>
        <v/>
      </c>
      <c r="F93" s="3">
        <f>LN(C93)</f>
        <v/>
      </c>
      <c r="G93" s="3">
        <f>LN(D93)</f>
        <v/>
      </c>
      <c r="H93" s="3">
        <f>E93-AVERAGE(E$2:E$93)</f>
        <v/>
      </c>
      <c r="I93" s="3">
        <f>F93-AVERAGE(F$2:F$93)</f>
        <v/>
      </c>
      <c r="J93" s="3">
        <f>G93-AVERAGE(G$2:G$93)</f>
        <v/>
      </c>
      <c r="K93" s="3">
        <f>H93-(I93+J93)</f>
        <v/>
      </c>
      <c r="L93" s="3">
        <f>EXP(H93)-1</f>
        <v/>
      </c>
      <c r="M93" s="3">
        <f>EXP(I93)-1</f>
        <v/>
      </c>
      <c r="N93" s="3">
        <f>EXP(J93)-1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</t>
        </is>
      </c>
      <c r="B1" s="1" t="inlineStr">
        <is>
          <t>const</t>
        </is>
      </c>
      <c r="C1" s="1" t="inlineStr">
        <is>
          <t>ln_receita (x)</t>
        </is>
      </c>
      <c r="D1" s="1" t="inlineStr">
        <is>
          <t>Baixada (0/1)</t>
        </is>
      </c>
      <c r="E1" s="1" t="inlineStr">
        <is>
          <t>Resto da Metropolitana (0/1)</t>
        </is>
      </c>
      <c r="F1" s="1" t="inlineStr">
        <is>
          <t>ln_gasto (y)</t>
        </is>
      </c>
      <c r="H1" s="4" t="inlineStr">
        <is>
          <t>x0 da capital: const, ln_receita, Baixada, Resto</t>
        </is>
      </c>
    </row>
    <row r="2">
      <c r="A2" s="3">
        <f>Dados!B2</f>
        <v/>
      </c>
      <c r="B2" s="3" t="n">
        <v>1</v>
      </c>
      <c r="C2" s="3">
        <f>A1_decomposicao!F2</f>
        <v/>
      </c>
      <c r="D2" s="3">
        <f>IF(Dados!C2="Baixada (núcleo de 6)",1,0)</f>
        <v/>
      </c>
      <c r="E2" s="3">
        <f>IF(Dados!C2="Metropolitana (resto, 15)",1,0)</f>
        <v/>
      </c>
      <c r="F2" s="3">
        <f>A1_decomposicao!E2</f>
        <v/>
      </c>
      <c r="H2" s="3" t="n">
        <v>1</v>
      </c>
      <c r="I2" s="3">
        <f>C93</f>
        <v/>
      </c>
      <c r="J2" s="3" t="n">
        <v>0</v>
      </c>
      <c r="K2" s="3" t="n">
        <v>1</v>
      </c>
    </row>
    <row r="3">
      <c r="A3" s="3">
        <f>Dados!B3</f>
        <v/>
      </c>
      <c r="B3" s="3" t="n">
        <v>1</v>
      </c>
      <c r="C3" s="3">
        <f>A1_decomposicao!F3</f>
        <v/>
      </c>
      <c r="D3" s="3">
        <f>IF(Dados!C3="Baixada (núcleo de 6)",1,0)</f>
        <v/>
      </c>
      <c r="E3" s="3">
        <f>IF(Dados!C3="Metropolitana (resto, 15)",1,0)</f>
        <v/>
      </c>
      <c r="F3" s="3">
        <f>A1_decomposicao!E3</f>
        <v/>
      </c>
    </row>
    <row r="4">
      <c r="A4" s="3">
        <f>Dados!B4</f>
        <v/>
      </c>
      <c r="B4" s="3" t="n">
        <v>1</v>
      </c>
      <c r="C4" s="3">
        <f>A1_decomposicao!F4</f>
        <v/>
      </c>
      <c r="D4" s="3">
        <f>IF(Dados!C4="Baixada (núcleo de 6)",1,0)</f>
        <v/>
      </c>
      <c r="E4" s="3">
        <f>IF(Dados!C4="Metropolitana (resto, 15)",1,0)</f>
        <v/>
      </c>
      <c r="F4" s="3">
        <f>A1_decomposicao!E4</f>
        <v/>
      </c>
      <c r="H4" s="4" t="inlineStr">
        <is>
          <t>(X'X)^-1 do M3, 91 cidades</t>
        </is>
      </c>
    </row>
    <row r="5">
      <c r="A5" s="3">
        <f>Dados!B5</f>
        <v/>
      </c>
      <c r="B5" s="3" t="n">
        <v>1</v>
      </c>
      <c r="C5" s="3">
        <f>A1_decomposicao!F5</f>
        <v/>
      </c>
      <c r="D5" s="3">
        <f>IF(Dados!C5="Baixada (núcleo de 6)",1,0)</f>
        <v/>
      </c>
      <c r="E5" s="3">
        <f>IF(Dados!C5="Metropolitana (resto, 15)",1,0)</f>
        <v/>
      </c>
      <c r="F5" s="3">
        <f>A1_decomposicao!E5</f>
        <v/>
      </c>
      <c r="H5" s="3">
        <f t="array" ref="H5:K8">MINVERSE(MMULT(TRANSPOSE(B2:E92),B2:E92))</f>
        <v/>
      </c>
    </row>
    <row r="6">
      <c r="A6" s="3">
        <f>Dados!B6</f>
        <v/>
      </c>
      <c r="B6" s="3" t="n">
        <v>1</v>
      </c>
      <c r="C6" s="3">
        <f>A1_decomposicao!F6</f>
        <v/>
      </c>
      <c r="D6" s="3">
        <f>IF(Dados!C6="Baixada (núcleo de 6)",1,0)</f>
        <v/>
      </c>
      <c r="E6" s="3">
        <f>IF(Dados!C6="Metropolitana (resto, 15)",1,0)</f>
        <v/>
      </c>
      <c r="F6" s="3">
        <f>A1_decomposicao!E6</f>
        <v/>
      </c>
    </row>
    <row r="7">
      <c r="A7" s="3">
        <f>Dados!B7</f>
        <v/>
      </c>
      <c r="B7" s="3" t="n">
        <v>1</v>
      </c>
      <c r="C7" s="3">
        <f>A1_decomposicao!F7</f>
        <v/>
      </c>
      <c r="D7" s="3">
        <f>IF(Dados!C7="Baixada (núcleo de 6)",1,0)</f>
        <v/>
      </c>
      <c r="E7" s="3">
        <f>IF(Dados!C7="Metropolitana (resto, 15)",1,0)</f>
        <v/>
      </c>
      <c r="F7" s="3">
        <f>A1_decomposicao!E7</f>
        <v/>
      </c>
    </row>
    <row r="8">
      <c r="A8" s="3">
        <f>Dados!B8</f>
        <v/>
      </c>
      <c r="B8" s="3" t="n">
        <v>1</v>
      </c>
      <c r="C8" s="3">
        <f>A1_decomposicao!F8</f>
        <v/>
      </c>
      <c r="D8" s="3">
        <f>IF(Dados!C8="Baixada (núcleo de 6)",1,0)</f>
        <v/>
      </c>
      <c r="E8" s="3">
        <f>IF(Dados!C8="Metropolitana (resto, 15)",1,0)</f>
        <v/>
      </c>
      <c r="F8" s="3">
        <f>A1_decomposicao!E8</f>
        <v/>
      </c>
    </row>
    <row r="9">
      <c r="A9" s="3">
        <f>Dados!B9</f>
        <v/>
      </c>
      <c r="B9" s="3" t="n">
        <v>1</v>
      </c>
      <c r="C9" s="3">
        <f>A1_decomposicao!F9</f>
        <v/>
      </c>
      <c r="D9" s="3">
        <f>IF(Dados!C9="Baixada (núcleo de 6)",1,0)</f>
        <v/>
      </c>
      <c r="E9" s="3">
        <f>IF(Dados!C9="Metropolitana (resto, 15)",1,0)</f>
        <v/>
      </c>
      <c r="F9" s="3">
        <f>A1_decomposicao!E9</f>
        <v/>
      </c>
    </row>
    <row r="10">
      <c r="A10" s="3">
        <f>Dados!B10</f>
        <v/>
      </c>
      <c r="B10" s="3" t="n">
        <v>1</v>
      </c>
      <c r="C10" s="3">
        <f>A1_decomposicao!F10</f>
        <v/>
      </c>
      <c r="D10" s="3">
        <f>IF(Dados!C10="Baixada (núcleo de 6)",1,0)</f>
        <v/>
      </c>
      <c r="E10" s="3">
        <f>IF(Dados!C10="Metropolitana (resto, 15)",1,0)</f>
        <v/>
      </c>
      <c r="F10" s="3">
        <f>A1_decomposicao!E10</f>
        <v/>
      </c>
    </row>
    <row r="11">
      <c r="A11" s="3">
        <f>Dados!B11</f>
        <v/>
      </c>
      <c r="B11" s="3" t="n">
        <v>1</v>
      </c>
      <c r="C11" s="3">
        <f>A1_decomposicao!F11</f>
        <v/>
      </c>
      <c r="D11" s="3">
        <f>IF(Dados!C11="Baixada (núcleo de 6)",1,0)</f>
        <v/>
      </c>
      <c r="E11" s="3">
        <f>IF(Dados!C11="Metropolitana (resto, 15)",1,0)</f>
        <v/>
      </c>
      <c r="F11" s="3">
        <f>A1_decomposicao!E11</f>
        <v/>
      </c>
    </row>
    <row r="12">
      <c r="A12" s="3">
        <f>Dados!B12</f>
        <v/>
      </c>
      <c r="B12" s="3" t="n">
        <v>1</v>
      </c>
      <c r="C12" s="3">
        <f>A1_decomposicao!F12</f>
        <v/>
      </c>
      <c r="D12" s="3">
        <f>IF(Dados!C12="Baixada (núcleo de 6)",1,0)</f>
        <v/>
      </c>
      <c r="E12" s="3">
        <f>IF(Dados!C12="Metropolitana (resto, 15)",1,0)</f>
        <v/>
      </c>
      <c r="F12" s="3">
        <f>A1_decomposicao!E12</f>
        <v/>
      </c>
    </row>
    <row r="13">
      <c r="A13" s="3">
        <f>Dados!B13</f>
        <v/>
      </c>
      <c r="B13" s="3" t="n">
        <v>1</v>
      </c>
      <c r="C13" s="3">
        <f>A1_decomposicao!F13</f>
        <v/>
      </c>
      <c r="D13" s="3">
        <f>IF(Dados!C13="Baixada (núcleo de 6)",1,0)</f>
        <v/>
      </c>
      <c r="E13" s="3">
        <f>IF(Dados!C13="Metropolitana (resto, 15)",1,0)</f>
        <v/>
      </c>
      <c r="F13" s="3">
        <f>A1_decomposicao!E13</f>
        <v/>
      </c>
    </row>
    <row r="14">
      <c r="A14" s="3">
        <f>Dados!B14</f>
        <v/>
      </c>
      <c r="B14" s="3" t="n">
        <v>1</v>
      </c>
      <c r="C14" s="3">
        <f>A1_decomposicao!F14</f>
        <v/>
      </c>
      <c r="D14" s="3">
        <f>IF(Dados!C14="Baixada (núcleo de 6)",1,0)</f>
        <v/>
      </c>
      <c r="E14" s="3">
        <f>IF(Dados!C14="Metropolitana (resto, 15)",1,0)</f>
        <v/>
      </c>
      <c r="F14" s="3">
        <f>A1_decomposicao!E14</f>
        <v/>
      </c>
    </row>
    <row r="15">
      <c r="A15" s="3">
        <f>Dados!B15</f>
        <v/>
      </c>
      <c r="B15" s="3" t="n">
        <v>1</v>
      </c>
      <c r="C15" s="3">
        <f>A1_decomposicao!F15</f>
        <v/>
      </c>
      <c r="D15" s="3">
        <f>IF(Dados!C15="Baixada (núcleo de 6)",1,0)</f>
        <v/>
      </c>
      <c r="E15" s="3">
        <f>IF(Dados!C15="Metropolitana (resto, 15)",1,0)</f>
        <v/>
      </c>
      <c r="F15" s="3">
        <f>A1_decomposicao!E15</f>
        <v/>
      </c>
    </row>
    <row r="16">
      <c r="A16" s="3">
        <f>Dados!B16</f>
        <v/>
      </c>
      <c r="B16" s="3" t="n">
        <v>1</v>
      </c>
      <c r="C16" s="3">
        <f>A1_decomposicao!F16</f>
        <v/>
      </c>
      <c r="D16" s="3">
        <f>IF(Dados!C16="Baixada (núcleo de 6)",1,0)</f>
        <v/>
      </c>
      <c r="E16" s="3">
        <f>IF(Dados!C16="Metropolitana (resto, 15)",1,0)</f>
        <v/>
      </c>
      <c r="F16" s="3">
        <f>A1_decomposicao!E16</f>
        <v/>
      </c>
    </row>
    <row r="17">
      <c r="A17" s="3">
        <f>Dados!B17</f>
        <v/>
      </c>
      <c r="B17" s="3" t="n">
        <v>1</v>
      </c>
      <c r="C17" s="3">
        <f>A1_decomposicao!F17</f>
        <v/>
      </c>
      <c r="D17" s="3">
        <f>IF(Dados!C17="Baixada (núcleo de 6)",1,0)</f>
        <v/>
      </c>
      <c r="E17" s="3">
        <f>IF(Dados!C17="Metropolitana (resto, 15)",1,0)</f>
        <v/>
      </c>
      <c r="F17" s="3">
        <f>A1_decomposicao!E17</f>
        <v/>
      </c>
    </row>
    <row r="18">
      <c r="A18" s="3">
        <f>Dados!B18</f>
        <v/>
      </c>
      <c r="B18" s="3" t="n">
        <v>1</v>
      </c>
      <c r="C18" s="3">
        <f>A1_decomposicao!F18</f>
        <v/>
      </c>
      <c r="D18" s="3">
        <f>IF(Dados!C18="Baixada (núcleo de 6)",1,0)</f>
        <v/>
      </c>
      <c r="E18" s="3">
        <f>IF(Dados!C18="Metropolitana (resto, 15)",1,0)</f>
        <v/>
      </c>
      <c r="F18" s="3">
        <f>A1_decomposicao!E18</f>
        <v/>
      </c>
    </row>
    <row r="19">
      <c r="A19" s="3">
        <f>Dados!B19</f>
        <v/>
      </c>
      <c r="B19" s="3" t="n">
        <v>1</v>
      </c>
      <c r="C19" s="3">
        <f>A1_decomposicao!F19</f>
        <v/>
      </c>
      <c r="D19" s="3">
        <f>IF(Dados!C19="Baixada (núcleo de 6)",1,0)</f>
        <v/>
      </c>
      <c r="E19" s="3">
        <f>IF(Dados!C19="Metropolitana (resto, 15)",1,0)</f>
        <v/>
      </c>
      <c r="F19" s="3">
        <f>A1_decomposicao!E19</f>
        <v/>
      </c>
    </row>
    <row r="20">
      <c r="A20" s="3">
        <f>Dados!B20</f>
        <v/>
      </c>
      <c r="B20" s="3" t="n">
        <v>1</v>
      </c>
      <c r="C20" s="3">
        <f>A1_decomposicao!F20</f>
        <v/>
      </c>
      <c r="D20" s="3">
        <f>IF(Dados!C20="Baixada (núcleo de 6)",1,0)</f>
        <v/>
      </c>
      <c r="E20" s="3">
        <f>IF(Dados!C20="Metropolitana (resto, 15)",1,0)</f>
        <v/>
      </c>
      <c r="F20" s="3">
        <f>A1_decomposicao!E20</f>
        <v/>
      </c>
    </row>
    <row r="21">
      <c r="A21" s="3">
        <f>Dados!B21</f>
        <v/>
      </c>
      <c r="B21" s="3" t="n">
        <v>1</v>
      </c>
      <c r="C21" s="3">
        <f>A1_decomposicao!F21</f>
        <v/>
      </c>
      <c r="D21" s="3">
        <f>IF(Dados!C21="Baixada (núcleo de 6)",1,0)</f>
        <v/>
      </c>
      <c r="E21" s="3">
        <f>IF(Dados!C21="Metropolitana (resto, 15)",1,0)</f>
        <v/>
      </c>
      <c r="F21" s="3">
        <f>A1_decomposicao!E21</f>
        <v/>
      </c>
    </row>
    <row r="22">
      <c r="A22" s="3">
        <f>Dados!B22</f>
        <v/>
      </c>
      <c r="B22" s="3" t="n">
        <v>1</v>
      </c>
      <c r="C22" s="3">
        <f>A1_decomposicao!F22</f>
        <v/>
      </c>
      <c r="D22" s="3">
        <f>IF(Dados!C22="Baixada (núcleo de 6)",1,0)</f>
        <v/>
      </c>
      <c r="E22" s="3">
        <f>IF(Dados!C22="Metropolitana (resto, 15)",1,0)</f>
        <v/>
      </c>
      <c r="F22" s="3">
        <f>A1_decomposicao!E22</f>
        <v/>
      </c>
    </row>
    <row r="23">
      <c r="A23" s="3">
        <f>Dados!B23</f>
        <v/>
      </c>
      <c r="B23" s="3" t="n">
        <v>1</v>
      </c>
      <c r="C23" s="3">
        <f>A1_decomposicao!F23</f>
        <v/>
      </c>
      <c r="D23" s="3">
        <f>IF(Dados!C23="Baixada (núcleo de 6)",1,0)</f>
        <v/>
      </c>
      <c r="E23" s="3">
        <f>IF(Dados!C23="Metropolitana (resto, 15)",1,0)</f>
        <v/>
      </c>
      <c r="F23" s="3">
        <f>A1_decomposicao!E23</f>
        <v/>
      </c>
    </row>
    <row r="24">
      <c r="A24" s="3">
        <f>Dados!B24</f>
        <v/>
      </c>
      <c r="B24" s="3" t="n">
        <v>1</v>
      </c>
      <c r="C24" s="3">
        <f>A1_decomposicao!F24</f>
        <v/>
      </c>
      <c r="D24" s="3">
        <f>IF(Dados!C24="Baixada (núcleo de 6)",1,0)</f>
        <v/>
      </c>
      <c r="E24" s="3">
        <f>IF(Dados!C24="Metropolitana (resto, 15)",1,0)</f>
        <v/>
      </c>
      <c r="F24" s="3">
        <f>A1_decomposicao!E24</f>
        <v/>
      </c>
    </row>
    <row r="25">
      <c r="A25" s="3">
        <f>Dados!B25</f>
        <v/>
      </c>
      <c r="B25" s="3" t="n">
        <v>1</v>
      </c>
      <c r="C25" s="3">
        <f>A1_decomposicao!F25</f>
        <v/>
      </c>
      <c r="D25" s="3">
        <f>IF(Dados!C25="Baixada (núcleo de 6)",1,0)</f>
        <v/>
      </c>
      <c r="E25" s="3">
        <f>IF(Dados!C25="Metropolitana (resto, 15)",1,0)</f>
        <v/>
      </c>
      <c r="F25" s="3">
        <f>A1_decomposicao!E25</f>
        <v/>
      </c>
    </row>
    <row r="26">
      <c r="A26" s="3">
        <f>Dados!B26</f>
        <v/>
      </c>
      <c r="B26" s="3" t="n">
        <v>1</v>
      </c>
      <c r="C26" s="3">
        <f>A1_decomposicao!F26</f>
        <v/>
      </c>
      <c r="D26" s="3">
        <f>IF(Dados!C26="Baixada (núcleo de 6)",1,0)</f>
        <v/>
      </c>
      <c r="E26" s="3">
        <f>IF(Dados!C26="Metropolitana (resto, 15)",1,0)</f>
        <v/>
      </c>
      <c r="F26" s="3">
        <f>A1_decomposicao!E26</f>
        <v/>
      </c>
    </row>
    <row r="27">
      <c r="A27" s="3">
        <f>Dados!B27</f>
        <v/>
      </c>
      <c r="B27" s="3" t="n">
        <v>1</v>
      </c>
      <c r="C27" s="3">
        <f>A1_decomposicao!F27</f>
        <v/>
      </c>
      <c r="D27" s="3">
        <f>IF(Dados!C27="Baixada (núcleo de 6)",1,0)</f>
        <v/>
      </c>
      <c r="E27" s="3">
        <f>IF(Dados!C27="Metropolitana (resto, 15)",1,0)</f>
        <v/>
      </c>
      <c r="F27" s="3">
        <f>A1_decomposicao!E27</f>
        <v/>
      </c>
    </row>
    <row r="28">
      <c r="A28" s="3">
        <f>Dados!B28</f>
        <v/>
      </c>
      <c r="B28" s="3" t="n">
        <v>1</v>
      </c>
      <c r="C28" s="3">
        <f>A1_decomposicao!F28</f>
        <v/>
      </c>
      <c r="D28" s="3">
        <f>IF(Dados!C28="Baixada (núcleo de 6)",1,0)</f>
        <v/>
      </c>
      <c r="E28" s="3">
        <f>IF(Dados!C28="Metropolitana (resto, 15)",1,0)</f>
        <v/>
      </c>
      <c r="F28" s="3">
        <f>A1_decomposicao!E28</f>
        <v/>
      </c>
    </row>
    <row r="29">
      <c r="A29" s="3">
        <f>Dados!B29</f>
        <v/>
      </c>
      <c r="B29" s="3" t="n">
        <v>1</v>
      </c>
      <c r="C29" s="3">
        <f>A1_decomposicao!F29</f>
        <v/>
      </c>
      <c r="D29" s="3">
        <f>IF(Dados!C29="Baixada (núcleo de 6)",1,0)</f>
        <v/>
      </c>
      <c r="E29" s="3">
        <f>IF(Dados!C29="Metropolitana (resto, 15)",1,0)</f>
        <v/>
      </c>
      <c r="F29" s="3">
        <f>A1_decomposicao!E29</f>
        <v/>
      </c>
    </row>
    <row r="30">
      <c r="A30" s="3">
        <f>Dados!B30</f>
        <v/>
      </c>
      <c r="B30" s="3" t="n">
        <v>1</v>
      </c>
      <c r="C30" s="3">
        <f>A1_decomposicao!F30</f>
        <v/>
      </c>
      <c r="D30" s="3">
        <f>IF(Dados!C30="Baixada (núcleo de 6)",1,0)</f>
        <v/>
      </c>
      <c r="E30" s="3">
        <f>IF(Dados!C30="Metropolitana (resto, 15)",1,0)</f>
        <v/>
      </c>
      <c r="F30" s="3">
        <f>A1_decomposicao!E30</f>
        <v/>
      </c>
    </row>
    <row r="31">
      <c r="A31" s="3">
        <f>Dados!B31</f>
        <v/>
      </c>
      <c r="B31" s="3" t="n">
        <v>1</v>
      </c>
      <c r="C31" s="3">
        <f>A1_decomposicao!F31</f>
        <v/>
      </c>
      <c r="D31" s="3">
        <f>IF(Dados!C31="Baixada (núcleo de 6)",1,0)</f>
        <v/>
      </c>
      <c r="E31" s="3">
        <f>IF(Dados!C31="Metropolitana (resto, 15)",1,0)</f>
        <v/>
      </c>
      <c r="F31" s="3">
        <f>A1_decomposicao!E31</f>
        <v/>
      </c>
    </row>
    <row r="32">
      <c r="A32" s="3">
        <f>Dados!B32</f>
        <v/>
      </c>
      <c r="B32" s="3" t="n">
        <v>1</v>
      </c>
      <c r="C32" s="3">
        <f>A1_decomposicao!F32</f>
        <v/>
      </c>
      <c r="D32" s="3">
        <f>IF(Dados!C32="Baixada (núcleo de 6)",1,0)</f>
        <v/>
      </c>
      <c r="E32" s="3">
        <f>IF(Dados!C32="Metropolitana (resto, 15)",1,0)</f>
        <v/>
      </c>
      <c r="F32" s="3">
        <f>A1_decomposicao!E32</f>
        <v/>
      </c>
    </row>
    <row r="33">
      <c r="A33" s="3">
        <f>Dados!B33</f>
        <v/>
      </c>
      <c r="B33" s="3" t="n">
        <v>1</v>
      </c>
      <c r="C33" s="3">
        <f>A1_decomposicao!F33</f>
        <v/>
      </c>
      <c r="D33" s="3">
        <f>IF(Dados!C33="Baixada (núcleo de 6)",1,0)</f>
        <v/>
      </c>
      <c r="E33" s="3">
        <f>IF(Dados!C33="Metropolitana (resto, 15)",1,0)</f>
        <v/>
      </c>
      <c r="F33" s="3">
        <f>A1_decomposicao!E33</f>
        <v/>
      </c>
    </row>
    <row r="34">
      <c r="A34" s="3">
        <f>Dados!B34</f>
        <v/>
      </c>
      <c r="B34" s="3" t="n">
        <v>1</v>
      </c>
      <c r="C34" s="3">
        <f>A1_decomposicao!F34</f>
        <v/>
      </c>
      <c r="D34" s="3">
        <f>IF(Dados!C34="Baixada (núcleo de 6)",1,0)</f>
        <v/>
      </c>
      <c r="E34" s="3">
        <f>IF(Dados!C34="Metropolitana (resto, 15)",1,0)</f>
        <v/>
      </c>
      <c r="F34" s="3">
        <f>A1_decomposicao!E34</f>
        <v/>
      </c>
    </row>
    <row r="35">
      <c r="A35" s="3">
        <f>Dados!B35</f>
        <v/>
      </c>
      <c r="B35" s="3" t="n">
        <v>1</v>
      </c>
      <c r="C35" s="3">
        <f>A1_decomposicao!F35</f>
        <v/>
      </c>
      <c r="D35" s="3">
        <f>IF(Dados!C35="Baixada (núcleo de 6)",1,0)</f>
        <v/>
      </c>
      <c r="E35" s="3">
        <f>IF(Dados!C35="Metropolitana (resto, 15)",1,0)</f>
        <v/>
      </c>
      <c r="F35" s="3">
        <f>A1_decomposicao!E35</f>
        <v/>
      </c>
    </row>
    <row r="36">
      <c r="A36" s="3">
        <f>Dados!B36</f>
        <v/>
      </c>
      <c r="B36" s="3" t="n">
        <v>1</v>
      </c>
      <c r="C36" s="3">
        <f>A1_decomposicao!F36</f>
        <v/>
      </c>
      <c r="D36" s="3">
        <f>IF(Dados!C36="Baixada (núcleo de 6)",1,0)</f>
        <v/>
      </c>
      <c r="E36" s="3">
        <f>IF(Dados!C36="Metropolitana (resto, 15)",1,0)</f>
        <v/>
      </c>
      <c r="F36" s="3">
        <f>A1_decomposicao!E36</f>
        <v/>
      </c>
    </row>
    <row r="37">
      <c r="A37" s="3">
        <f>Dados!B37</f>
        <v/>
      </c>
      <c r="B37" s="3" t="n">
        <v>1</v>
      </c>
      <c r="C37" s="3">
        <f>A1_decomposicao!F37</f>
        <v/>
      </c>
      <c r="D37" s="3">
        <f>IF(Dados!C37="Baixada (núcleo de 6)",1,0)</f>
        <v/>
      </c>
      <c r="E37" s="3">
        <f>IF(Dados!C37="Metropolitana (resto, 15)",1,0)</f>
        <v/>
      </c>
      <c r="F37" s="3">
        <f>A1_decomposicao!E37</f>
        <v/>
      </c>
    </row>
    <row r="38">
      <c r="A38" s="3">
        <f>Dados!B38</f>
        <v/>
      </c>
      <c r="B38" s="3" t="n">
        <v>1</v>
      </c>
      <c r="C38" s="3">
        <f>A1_decomposicao!F38</f>
        <v/>
      </c>
      <c r="D38" s="3">
        <f>IF(Dados!C38="Baixada (núcleo de 6)",1,0)</f>
        <v/>
      </c>
      <c r="E38" s="3">
        <f>IF(Dados!C38="Metropolitana (resto, 15)",1,0)</f>
        <v/>
      </c>
      <c r="F38" s="3">
        <f>A1_decomposicao!E38</f>
        <v/>
      </c>
    </row>
    <row r="39">
      <c r="A39" s="3">
        <f>Dados!B39</f>
        <v/>
      </c>
      <c r="B39" s="3" t="n">
        <v>1</v>
      </c>
      <c r="C39" s="3">
        <f>A1_decomposicao!F39</f>
        <v/>
      </c>
      <c r="D39" s="3">
        <f>IF(Dados!C39="Baixada (núcleo de 6)",1,0)</f>
        <v/>
      </c>
      <c r="E39" s="3">
        <f>IF(Dados!C39="Metropolitana (resto, 15)",1,0)</f>
        <v/>
      </c>
      <c r="F39" s="3">
        <f>A1_decomposicao!E39</f>
        <v/>
      </c>
    </row>
    <row r="40">
      <c r="A40" s="3">
        <f>Dados!B40</f>
        <v/>
      </c>
      <c r="B40" s="3" t="n">
        <v>1</v>
      </c>
      <c r="C40" s="3">
        <f>A1_decomposicao!F40</f>
        <v/>
      </c>
      <c r="D40" s="3">
        <f>IF(Dados!C40="Baixada (núcleo de 6)",1,0)</f>
        <v/>
      </c>
      <c r="E40" s="3">
        <f>IF(Dados!C40="Metropolitana (resto, 15)",1,0)</f>
        <v/>
      </c>
      <c r="F40" s="3">
        <f>A1_decomposicao!E40</f>
        <v/>
      </c>
    </row>
    <row r="41">
      <c r="A41" s="3">
        <f>Dados!B41</f>
        <v/>
      </c>
      <c r="B41" s="3" t="n">
        <v>1</v>
      </c>
      <c r="C41" s="3">
        <f>A1_decomposicao!F41</f>
        <v/>
      </c>
      <c r="D41" s="3">
        <f>IF(Dados!C41="Baixada (núcleo de 6)",1,0)</f>
        <v/>
      </c>
      <c r="E41" s="3">
        <f>IF(Dados!C41="Metropolitana (resto, 15)",1,0)</f>
        <v/>
      </c>
      <c r="F41" s="3">
        <f>A1_decomposicao!E41</f>
        <v/>
      </c>
    </row>
    <row r="42">
      <c r="A42" s="3">
        <f>Dados!B42</f>
        <v/>
      </c>
      <c r="B42" s="3" t="n">
        <v>1</v>
      </c>
      <c r="C42" s="3">
        <f>A1_decomposicao!F42</f>
        <v/>
      </c>
      <c r="D42" s="3">
        <f>IF(Dados!C42="Baixada (núcleo de 6)",1,0)</f>
        <v/>
      </c>
      <c r="E42" s="3">
        <f>IF(Dados!C42="Metropolitana (resto, 15)",1,0)</f>
        <v/>
      </c>
      <c r="F42" s="3">
        <f>A1_decomposicao!E42</f>
        <v/>
      </c>
    </row>
    <row r="43">
      <c r="A43" s="3">
        <f>Dados!B43</f>
        <v/>
      </c>
      <c r="B43" s="3" t="n">
        <v>1</v>
      </c>
      <c r="C43" s="3">
        <f>A1_decomposicao!F43</f>
        <v/>
      </c>
      <c r="D43" s="3">
        <f>IF(Dados!C43="Baixada (núcleo de 6)",1,0)</f>
        <v/>
      </c>
      <c r="E43" s="3">
        <f>IF(Dados!C43="Metropolitana (resto, 15)",1,0)</f>
        <v/>
      </c>
      <c r="F43" s="3">
        <f>A1_decomposicao!E43</f>
        <v/>
      </c>
    </row>
    <row r="44">
      <c r="A44" s="3">
        <f>Dados!B44</f>
        <v/>
      </c>
      <c r="B44" s="3" t="n">
        <v>1</v>
      </c>
      <c r="C44" s="3">
        <f>A1_decomposicao!F44</f>
        <v/>
      </c>
      <c r="D44" s="3">
        <f>IF(Dados!C44="Baixada (núcleo de 6)",1,0)</f>
        <v/>
      </c>
      <c r="E44" s="3">
        <f>IF(Dados!C44="Metropolitana (resto, 15)",1,0)</f>
        <v/>
      </c>
      <c r="F44" s="3">
        <f>A1_decomposicao!E44</f>
        <v/>
      </c>
    </row>
    <row r="45">
      <c r="A45" s="3">
        <f>Dados!B45</f>
        <v/>
      </c>
      <c r="B45" s="3" t="n">
        <v>1</v>
      </c>
      <c r="C45" s="3">
        <f>A1_decomposicao!F45</f>
        <v/>
      </c>
      <c r="D45" s="3">
        <f>IF(Dados!C45="Baixada (núcleo de 6)",1,0)</f>
        <v/>
      </c>
      <c r="E45" s="3">
        <f>IF(Dados!C45="Metropolitana (resto, 15)",1,0)</f>
        <v/>
      </c>
      <c r="F45" s="3">
        <f>A1_decomposicao!E45</f>
        <v/>
      </c>
    </row>
    <row r="46">
      <c r="A46" s="3">
        <f>Dados!B46</f>
        <v/>
      </c>
      <c r="B46" s="3" t="n">
        <v>1</v>
      </c>
      <c r="C46" s="3">
        <f>A1_decomposicao!F46</f>
        <v/>
      </c>
      <c r="D46" s="3">
        <f>IF(Dados!C46="Baixada (núcleo de 6)",1,0)</f>
        <v/>
      </c>
      <c r="E46" s="3">
        <f>IF(Dados!C46="Metropolitana (resto, 15)",1,0)</f>
        <v/>
      </c>
      <c r="F46" s="3">
        <f>A1_decomposicao!E46</f>
        <v/>
      </c>
    </row>
    <row r="47">
      <c r="A47" s="3">
        <f>Dados!B47</f>
        <v/>
      </c>
      <c r="B47" s="3" t="n">
        <v>1</v>
      </c>
      <c r="C47" s="3">
        <f>A1_decomposicao!F47</f>
        <v/>
      </c>
      <c r="D47" s="3">
        <f>IF(Dados!C47="Baixada (núcleo de 6)",1,0)</f>
        <v/>
      </c>
      <c r="E47" s="3">
        <f>IF(Dados!C47="Metropolitana (resto, 15)",1,0)</f>
        <v/>
      </c>
      <c r="F47" s="3">
        <f>A1_decomposicao!E47</f>
        <v/>
      </c>
    </row>
    <row r="48">
      <c r="A48" s="3">
        <f>Dados!B48</f>
        <v/>
      </c>
      <c r="B48" s="3" t="n">
        <v>1</v>
      </c>
      <c r="C48" s="3">
        <f>A1_decomposicao!F48</f>
        <v/>
      </c>
      <c r="D48" s="3">
        <f>IF(Dados!C48="Baixada (núcleo de 6)",1,0)</f>
        <v/>
      </c>
      <c r="E48" s="3">
        <f>IF(Dados!C48="Metropolitana (resto, 15)",1,0)</f>
        <v/>
      </c>
      <c r="F48" s="3">
        <f>A1_decomposicao!E48</f>
        <v/>
      </c>
    </row>
    <row r="49">
      <c r="A49" s="3">
        <f>Dados!B49</f>
        <v/>
      </c>
      <c r="B49" s="3" t="n">
        <v>1</v>
      </c>
      <c r="C49" s="3">
        <f>A1_decomposicao!F49</f>
        <v/>
      </c>
      <c r="D49" s="3">
        <f>IF(Dados!C49="Baixada (núcleo de 6)",1,0)</f>
        <v/>
      </c>
      <c r="E49" s="3">
        <f>IF(Dados!C49="Metropolitana (resto, 15)",1,0)</f>
        <v/>
      </c>
      <c r="F49" s="3">
        <f>A1_decomposicao!E49</f>
        <v/>
      </c>
    </row>
    <row r="50">
      <c r="A50" s="3">
        <f>Dados!B50</f>
        <v/>
      </c>
      <c r="B50" s="3" t="n">
        <v>1</v>
      </c>
      <c r="C50" s="3">
        <f>A1_decomposicao!F50</f>
        <v/>
      </c>
      <c r="D50" s="3">
        <f>IF(Dados!C50="Baixada (núcleo de 6)",1,0)</f>
        <v/>
      </c>
      <c r="E50" s="3">
        <f>IF(Dados!C50="Metropolitana (resto, 15)",1,0)</f>
        <v/>
      </c>
      <c r="F50" s="3">
        <f>A1_decomposicao!E50</f>
        <v/>
      </c>
    </row>
    <row r="51">
      <c r="A51" s="3">
        <f>Dados!B51</f>
        <v/>
      </c>
      <c r="B51" s="3" t="n">
        <v>1</v>
      </c>
      <c r="C51" s="3">
        <f>A1_decomposicao!F51</f>
        <v/>
      </c>
      <c r="D51" s="3">
        <f>IF(Dados!C51="Baixada (núcleo de 6)",1,0)</f>
        <v/>
      </c>
      <c r="E51" s="3">
        <f>IF(Dados!C51="Metropolitana (resto, 15)",1,0)</f>
        <v/>
      </c>
      <c r="F51" s="3">
        <f>A1_decomposicao!E51</f>
        <v/>
      </c>
    </row>
    <row r="52">
      <c r="A52" s="3">
        <f>Dados!B52</f>
        <v/>
      </c>
      <c r="B52" s="3" t="n">
        <v>1</v>
      </c>
      <c r="C52" s="3">
        <f>A1_decomposicao!F52</f>
        <v/>
      </c>
      <c r="D52" s="3">
        <f>IF(Dados!C52="Baixada (núcleo de 6)",1,0)</f>
        <v/>
      </c>
      <c r="E52" s="3">
        <f>IF(Dados!C52="Metropolitana (resto, 15)",1,0)</f>
        <v/>
      </c>
      <c r="F52" s="3">
        <f>A1_decomposicao!E52</f>
        <v/>
      </c>
    </row>
    <row r="53">
      <c r="A53" s="3">
        <f>Dados!B53</f>
        <v/>
      </c>
      <c r="B53" s="3" t="n">
        <v>1</v>
      </c>
      <c r="C53" s="3">
        <f>A1_decomposicao!F53</f>
        <v/>
      </c>
      <c r="D53" s="3">
        <f>IF(Dados!C53="Baixada (núcleo de 6)",1,0)</f>
        <v/>
      </c>
      <c r="E53" s="3">
        <f>IF(Dados!C53="Metropolitana (resto, 15)",1,0)</f>
        <v/>
      </c>
      <c r="F53" s="3">
        <f>A1_decomposicao!E53</f>
        <v/>
      </c>
    </row>
    <row r="54">
      <c r="A54" s="3">
        <f>Dados!B54</f>
        <v/>
      </c>
      <c r="B54" s="3" t="n">
        <v>1</v>
      </c>
      <c r="C54" s="3">
        <f>A1_decomposicao!F54</f>
        <v/>
      </c>
      <c r="D54" s="3">
        <f>IF(Dados!C54="Baixada (núcleo de 6)",1,0)</f>
        <v/>
      </c>
      <c r="E54" s="3">
        <f>IF(Dados!C54="Metropolitana (resto, 15)",1,0)</f>
        <v/>
      </c>
      <c r="F54" s="3">
        <f>A1_decomposicao!E54</f>
        <v/>
      </c>
    </row>
    <row r="55">
      <c r="A55" s="3">
        <f>Dados!B55</f>
        <v/>
      </c>
      <c r="B55" s="3" t="n">
        <v>1</v>
      </c>
      <c r="C55" s="3">
        <f>A1_decomposicao!F55</f>
        <v/>
      </c>
      <c r="D55" s="3">
        <f>IF(Dados!C55="Baixada (núcleo de 6)",1,0)</f>
        <v/>
      </c>
      <c r="E55" s="3">
        <f>IF(Dados!C55="Metropolitana (resto, 15)",1,0)</f>
        <v/>
      </c>
      <c r="F55" s="3">
        <f>A1_decomposicao!E55</f>
        <v/>
      </c>
    </row>
    <row r="56">
      <c r="A56" s="3">
        <f>Dados!B56</f>
        <v/>
      </c>
      <c r="B56" s="3" t="n">
        <v>1</v>
      </c>
      <c r="C56" s="3">
        <f>A1_decomposicao!F56</f>
        <v/>
      </c>
      <c r="D56" s="3">
        <f>IF(Dados!C56="Baixada (núcleo de 6)",1,0)</f>
        <v/>
      </c>
      <c r="E56" s="3">
        <f>IF(Dados!C56="Metropolitana (resto, 15)",1,0)</f>
        <v/>
      </c>
      <c r="F56" s="3">
        <f>A1_decomposicao!E56</f>
        <v/>
      </c>
    </row>
    <row r="57">
      <c r="A57" s="3">
        <f>Dados!B57</f>
        <v/>
      </c>
      <c r="B57" s="3" t="n">
        <v>1</v>
      </c>
      <c r="C57" s="3">
        <f>A1_decomposicao!F57</f>
        <v/>
      </c>
      <c r="D57" s="3">
        <f>IF(Dados!C57="Baixada (núcleo de 6)",1,0)</f>
        <v/>
      </c>
      <c r="E57" s="3">
        <f>IF(Dados!C57="Metropolitana (resto, 15)",1,0)</f>
        <v/>
      </c>
      <c r="F57" s="3">
        <f>A1_decomposicao!E57</f>
        <v/>
      </c>
    </row>
    <row r="58">
      <c r="A58" s="3">
        <f>Dados!B58</f>
        <v/>
      </c>
      <c r="B58" s="3" t="n">
        <v>1</v>
      </c>
      <c r="C58" s="3">
        <f>A1_decomposicao!F58</f>
        <v/>
      </c>
      <c r="D58" s="3">
        <f>IF(Dados!C58="Baixada (núcleo de 6)",1,0)</f>
        <v/>
      </c>
      <c r="E58" s="3">
        <f>IF(Dados!C58="Metropolitana (resto, 15)",1,0)</f>
        <v/>
      </c>
      <c r="F58" s="3">
        <f>A1_decomposicao!E58</f>
        <v/>
      </c>
    </row>
    <row r="59">
      <c r="A59" s="3">
        <f>Dados!B59</f>
        <v/>
      </c>
      <c r="B59" s="3" t="n">
        <v>1</v>
      </c>
      <c r="C59" s="3">
        <f>A1_decomposicao!F59</f>
        <v/>
      </c>
      <c r="D59" s="3">
        <f>IF(Dados!C59="Baixada (núcleo de 6)",1,0)</f>
        <v/>
      </c>
      <c r="E59" s="3">
        <f>IF(Dados!C59="Metropolitana (resto, 15)",1,0)</f>
        <v/>
      </c>
      <c r="F59" s="3">
        <f>A1_decomposicao!E59</f>
        <v/>
      </c>
    </row>
    <row r="60">
      <c r="A60" s="3">
        <f>Dados!B60</f>
        <v/>
      </c>
      <c r="B60" s="3" t="n">
        <v>1</v>
      </c>
      <c r="C60" s="3">
        <f>A1_decomposicao!F60</f>
        <v/>
      </c>
      <c r="D60" s="3">
        <f>IF(Dados!C60="Baixada (núcleo de 6)",1,0)</f>
        <v/>
      </c>
      <c r="E60" s="3">
        <f>IF(Dados!C60="Metropolitana (resto, 15)",1,0)</f>
        <v/>
      </c>
      <c r="F60" s="3">
        <f>A1_decomposicao!E60</f>
        <v/>
      </c>
    </row>
    <row r="61">
      <c r="A61" s="3">
        <f>Dados!B61</f>
        <v/>
      </c>
      <c r="B61" s="3" t="n">
        <v>1</v>
      </c>
      <c r="C61" s="3">
        <f>A1_decomposicao!F61</f>
        <v/>
      </c>
      <c r="D61" s="3">
        <f>IF(Dados!C61="Baixada (núcleo de 6)",1,0)</f>
        <v/>
      </c>
      <c r="E61" s="3">
        <f>IF(Dados!C61="Metropolitana (resto, 15)",1,0)</f>
        <v/>
      </c>
      <c r="F61" s="3">
        <f>A1_decomposicao!E61</f>
        <v/>
      </c>
    </row>
    <row r="62">
      <c r="A62" s="3">
        <f>Dados!B62</f>
        <v/>
      </c>
      <c r="B62" s="3" t="n">
        <v>1</v>
      </c>
      <c r="C62" s="3">
        <f>A1_decomposicao!F62</f>
        <v/>
      </c>
      <c r="D62" s="3">
        <f>IF(Dados!C62="Baixada (núcleo de 6)",1,0)</f>
        <v/>
      </c>
      <c r="E62" s="3">
        <f>IF(Dados!C62="Metropolitana (resto, 15)",1,0)</f>
        <v/>
      </c>
      <c r="F62" s="3">
        <f>A1_decomposicao!E62</f>
        <v/>
      </c>
    </row>
    <row r="63">
      <c r="A63" s="3">
        <f>Dados!B63</f>
        <v/>
      </c>
      <c r="B63" s="3" t="n">
        <v>1</v>
      </c>
      <c r="C63" s="3">
        <f>A1_decomposicao!F63</f>
        <v/>
      </c>
      <c r="D63" s="3">
        <f>IF(Dados!C63="Baixada (núcleo de 6)",1,0)</f>
        <v/>
      </c>
      <c r="E63" s="3">
        <f>IF(Dados!C63="Metropolitana (resto, 15)",1,0)</f>
        <v/>
      </c>
      <c r="F63" s="3">
        <f>A1_decomposicao!E63</f>
        <v/>
      </c>
    </row>
    <row r="64">
      <c r="A64" s="3">
        <f>Dados!B64</f>
        <v/>
      </c>
      <c r="B64" s="3" t="n">
        <v>1</v>
      </c>
      <c r="C64" s="3">
        <f>A1_decomposicao!F64</f>
        <v/>
      </c>
      <c r="D64" s="3">
        <f>IF(Dados!C64="Baixada (núcleo de 6)",1,0)</f>
        <v/>
      </c>
      <c r="E64" s="3">
        <f>IF(Dados!C64="Metropolitana (resto, 15)",1,0)</f>
        <v/>
      </c>
      <c r="F64" s="3">
        <f>A1_decomposicao!E64</f>
        <v/>
      </c>
    </row>
    <row r="65">
      <c r="A65" s="3">
        <f>Dados!B65</f>
        <v/>
      </c>
      <c r="B65" s="3" t="n">
        <v>1</v>
      </c>
      <c r="C65" s="3">
        <f>A1_decomposicao!F65</f>
        <v/>
      </c>
      <c r="D65" s="3">
        <f>IF(Dados!C65="Baixada (núcleo de 6)",1,0)</f>
        <v/>
      </c>
      <c r="E65" s="3">
        <f>IF(Dados!C65="Metropolitana (resto, 15)",1,0)</f>
        <v/>
      </c>
      <c r="F65" s="3">
        <f>A1_decomposicao!E65</f>
        <v/>
      </c>
    </row>
    <row r="66">
      <c r="A66" s="3">
        <f>Dados!B66</f>
        <v/>
      </c>
      <c r="B66" s="3" t="n">
        <v>1</v>
      </c>
      <c r="C66" s="3">
        <f>A1_decomposicao!F66</f>
        <v/>
      </c>
      <c r="D66" s="3">
        <f>IF(Dados!C66="Baixada (núcleo de 6)",1,0)</f>
        <v/>
      </c>
      <c r="E66" s="3">
        <f>IF(Dados!C66="Metropolitana (resto, 15)",1,0)</f>
        <v/>
      </c>
      <c r="F66" s="3">
        <f>A1_decomposicao!E66</f>
        <v/>
      </c>
    </row>
    <row r="67">
      <c r="A67" s="3">
        <f>Dados!B67</f>
        <v/>
      </c>
      <c r="B67" s="3" t="n">
        <v>1</v>
      </c>
      <c r="C67" s="3">
        <f>A1_decomposicao!F67</f>
        <v/>
      </c>
      <c r="D67" s="3">
        <f>IF(Dados!C67="Baixada (núcleo de 6)",1,0)</f>
        <v/>
      </c>
      <c r="E67" s="3">
        <f>IF(Dados!C67="Metropolitana (resto, 15)",1,0)</f>
        <v/>
      </c>
      <c r="F67" s="3">
        <f>A1_decomposicao!E67</f>
        <v/>
      </c>
    </row>
    <row r="68">
      <c r="A68" s="3">
        <f>Dados!B68</f>
        <v/>
      </c>
      <c r="B68" s="3" t="n">
        <v>1</v>
      </c>
      <c r="C68" s="3">
        <f>A1_decomposicao!F68</f>
        <v/>
      </c>
      <c r="D68" s="3">
        <f>IF(Dados!C68="Baixada (núcleo de 6)",1,0)</f>
        <v/>
      </c>
      <c r="E68" s="3">
        <f>IF(Dados!C68="Metropolitana (resto, 15)",1,0)</f>
        <v/>
      </c>
      <c r="F68" s="3">
        <f>A1_decomposicao!E68</f>
        <v/>
      </c>
    </row>
    <row r="69">
      <c r="A69" s="3">
        <f>Dados!B69</f>
        <v/>
      </c>
      <c r="B69" s="3" t="n">
        <v>1</v>
      </c>
      <c r="C69" s="3">
        <f>A1_decomposicao!F69</f>
        <v/>
      </c>
      <c r="D69" s="3">
        <f>IF(Dados!C69="Baixada (núcleo de 6)",1,0)</f>
        <v/>
      </c>
      <c r="E69" s="3">
        <f>IF(Dados!C69="Metropolitana (resto, 15)",1,0)</f>
        <v/>
      </c>
      <c r="F69" s="3">
        <f>A1_decomposicao!E69</f>
        <v/>
      </c>
    </row>
    <row r="70">
      <c r="A70" s="3">
        <f>Dados!B70</f>
        <v/>
      </c>
      <c r="B70" s="3" t="n">
        <v>1</v>
      </c>
      <c r="C70" s="3">
        <f>A1_decomposicao!F70</f>
        <v/>
      </c>
      <c r="D70" s="3">
        <f>IF(Dados!C70="Baixada (núcleo de 6)",1,0)</f>
        <v/>
      </c>
      <c r="E70" s="3">
        <f>IF(Dados!C70="Metropolitana (resto, 15)",1,0)</f>
        <v/>
      </c>
      <c r="F70" s="3">
        <f>A1_decomposicao!E70</f>
        <v/>
      </c>
    </row>
    <row r="71">
      <c r="A71" s="3">
        <f>Dados!B71</f>
        <v/>
      </c>
      <c r="B71" s="3" t="n">
        <v>1</v>
      </c>
      <c r="C71" s="3">
        <f>A1_decomposicao!F71</f>
        <v/>
      </c>
      <c r="D71" s="3">
        <f>IF(Dados!C71="Baixada (núcleo de 6)",1,0)</f>
        <v/>
      </c>
      <c r="E71" s="3">
        <f>IF(Dados!C71="Metropolitana (resto, 15)",1,0)</f>
        <v/>
      </c>
      <c r="F71" s="3">
        <f>A1_decomposicao!E71</f>
        <v/>
      </c>
    </row>
    <row r="72">
      <c r="A72" s="3">
        <f>Dados!B72</f>
        <v/>
      </c>
      <c r="B72" s="3" t="n">
        <v>1</v>
      </c>
      <c r="C72" s="3">
        <f>A1_decomposicao!F72</f>
        <v/>
      </c>
      <c r="D72" s="3">
        <f>IF(Dados!C72="Baixada (núcleo de 6)",1,0)</f>
        <v/>
      </c>
      <c r="E72" s="3">
        <f>IF(Dados!C72="Metropolitana (resto, 15)",1,0)</f>
        <v/>
      </c>
      <c r="F72" s="3">
        <f>A1_decomposicao!E72</f>
        <v/>
      </c>
    </row>
    <row r="73">
      <c r="A73" s="3">
        <f>Dados!B73</f>
        <v/>
      </c>
      <c r="B73" s="3" t="n">
        <v>1</v>
      </c>
      <c r="C73" s="3">
        <f>A1_decomposicao!F73</f>
        <v/>
      </c>
      <c r="D73" s="3">
        <f>IF(Dados!C73="Baixada (núcleo de 6)",1,0)</f>
        <v/>
      </c>
      <c r="E73" s="3">
        <f>IF(Dados!C73="Metropolitana (resto, 15)",1,0)</f>
        <v/>
      </c>
      <c r="F73" s="3">
        <f>A1_decomposicao!E73</f>
        <v/>
      </c>
    </row>
    <row r="74">
      <c r="A74" s="3">
        <f>Dados!B74</f>
        <v/>
      </c>
      <c r="B74" s="3" t="n">
        <v>1</v>
      </c>
      <c r="C74" s="3">
        <f>A1_decomposicao!F74</f>
        <v/>
      </c>
      <c r="D74" s="3">
        <f>IF(Dados!C74="Baixada (núcleo de 6)",1,0)</f>
        <v/>
      </c>
      <c r="E74" s="3">
        <f>IF(Dados!C74="Metropolitana (resto, 15)",1,0)</f>
        <v/>
      </c>
      <c r="F74" s="3">
        <f>A1_decomposicao!E74</f>
        <v/>
      </c>
    </row>
    <row r="75">
      <c r="A75" s="3">
        <f>Dados!B75</f>
        <v/>
      </c>
      <c r="B75" s="3" t="n">
        <v>1</v>
      </c>
      <c r="C75" s="3">
        <f>A1_decomposicao!F75</f>
        <v/>
      </c>
      <c r="D75" s="3">
        <f>IF(Dados!C75="Baixada (núcleo de 6)",1,0)</f>
        <v/>
      </c>
      <c r="E75" s="3">
        <f>IF(Dados!C75="Metropolitana (resto, 15)",1,0)</f>
        <v/>
      </c>
      <c r="F75" s="3">
        <f>A1_decomposicao!E75</f>
        <v/>
      </c>
    </row>
    <row r="76">
      <c r="A76" s="3">
        <f>Dados!B76</f>
        <v/>
      </c>
      <c r="B76" s="3" t="n">
        <v>1</v>
      </c>
      <c r="C76" s="3">
        <f>A1_decomposicao!F76</f>
        <v/>
      </c>
      <c r="D76" s="3">
        <f>IF(Dados!C76="Baixada (núcleo de 6)",1,0)</f>
        <v/>
      </c>
      <c r="E76" s="3">
        <f>IF(Dados!C76="Metropolitana (resto, 15)",1,0)</f>
        <v/>
      </c>
      <c r="F76" s="3">
        <f>A1_decomposicao!E76</f>
        <v/>
      </c>
    </row>
    <row r="77">
      <c r="A77" s="3">
        <f>Dados!B77</f>
        <v/>
      </c>
      <c r="B77" s="3" t="n">
        <v>1</v>
      </c>
      <c r="C77" s="3">
        <f>A1_decomposicao!F77</f>
        <v/>
      </c>
      <c r="D77" s="3">
        <f>IF(Dados!C77="Baixada (núcleo de 6)",1,0)</f>
        <v/>
      </c>
      <c r="E77" s="3">
        <f>IF(Dados!C77="Metropolitana (resto, 15)",1,0)</f>
        <v/>
      </c>
      <c r="F77" s="3">
        <f>A1_decomposicao!E77</f>
        <v/>
      </c>
    </row>
    <row r="78">
      <c r="A78" s="3">
        <f>Dados!B78</f>
        <v/>
      </c>
      <c r="B78" s="3" t="n">
        <v>1</v>
      </c>
      <c r="C78" s="3">
        <f>A1_decomposicao!F78</f>
        <v/>
      </c>
      <c r="D78" s="3">
        <f>IF(Dados!C78="Baixada (núcleo de 6)",1,0)</f>
        <v/>
      </c>
      <c r="E78" s="3">
        <f>IF(Dados!C78="Metropolitana (resto, 15)",1,0)</f>
        <v/>
      </c>
      <c r="F78" s="3">
        <f>A1_decomposicao!E78</f>
        <v/>
      </c>
    </row>
    <row r="79">
      <c r="A79" s="3">
        <f>Dados!B79</f>
        <v/>
      </c>
      <c r="B79" s="3" t="n">
        <v>1</v>
      </c>
      <c r="C79" s="3">
        <f>A1_decomposicao!F79</f>
        <v/>
      </c>
      <c r="D79" s="3">
        <f>IF(Dados!C79="Baixada (núcleo de 6)",1,0)</f>
        <v/>
      </c>
      <c r="E79" s="3">
        <f>IF(Dados!C79="Metropolitana (resto, 15)",1,0)</f>
        <v/>
      </c>
      <c r="F79" s="3">
        <f>A1_decomposicao!E79</f>
        <v/>
      </c>
    </row>
    <row r="80">
      <c r="A80" s="3">
        <f>Dados!B80</f>
        <v/>
      </c>
      <c r="B80" s="3" t="n">
        <v>1</v>
      </c>
      <c r="C80" s="3">
        <f>A1_decomposicao!F80</f>
        <v/>
      </c>
      <c r="D80" s="3">
        <f>IF(Dados!C80="Baixada (núcleo de 6)",1,0)</f>
        <v/>
      </c>
      <c r="E80" s="3">
        <f>IF(Dados!C80="Metropolitana (resto, 15)",1,0)</f>
        <v/>
      </c>
      <c r="F80" s="3">
        <f>A1_decomposicao!E80</f>
        <v/>
      </c>
    </row>
    <row r="81">
      <c r="A81" s="3">
        <f>Dados!B81</f>
        <v/>
      </c>
      <c r="B81" s="3" t="n">
        <v>1</v>
      </c>
      <c r="C81" s="3">
        <f>A1_decomposicao!F81</f>
        <v/>
      </c>
      <c r="D81" s="3">
        <f>IF(Dados!C81="Baixada (núcleo de 6)",1,0)</f>
        <v/>
      </c>
      <c r="E81" s="3">
        <f>IF(Dados!C81="Metropolitana (resto, 15)",1,0)</f>
        <v/>
      </c>
      <c r="F81" s="3">
        <f>A1_decomposicao!E81</f>
        <v/>
      </c>
    </row>
    <row r="82">
      <c r="A82" s="3">
        <f>Dados!B82</f>
        <v/>
      </c>
      <c r="B82" s="3" t="n">
        <v>1</v>
      </c>
      <c r="C82" s="3">
        <f>A1_decomposicao!F82</f>
        <v/>
      </c>
      <c r="D82" s="3">
        <f>IF(Dados!C82="Baixada (núcleo de 6)",1,0)</f>
        <v/>
      </c>
      <c r="E82" s="3">
        <f>IF(Dados!C82="Metropolitana (resto, 15)",1,0)</f>
        <v/>
      </c>
      <c r="F82" s="3">
        <f>A1_decomposicao!E82</f>
        <v/>
      </c>
    </row>
    <row r="83">
      <c r="A83" s="3">
        <f>Dados!B83</f>
        <v/>
      </c>
      <c r="B83" s="3" t="n">
        <v>1</v>
      </c>
      <c r="C83" s="3">
        <f>A1_decomposicao!F83</f>
        <v/>
      </c>
      <c r="D83" s="3">
        <f>IF(Dados!C83="Baixada (núcleo de 6)",1,0)</f>
        <v/>
      </c>
      <c r="E83" s="3">
        <f>IF(Dados!C83="Metropolitana (resto, 15)",1,0)</f>
        <v/>
      </c>
      <c r="F83" s="3">
        <f>A1_decomposicao!E83</f>
        <v/>
      </c>
    </row>
    <row r="84">
      <c r="A84" s="3">
        <f>Dados!B84</f>
        <v/>
      </c>
      <c r="B84" s="3" t="n">
        <v>1</v>
      </c>
      <c r="C84" s="3">
        <f>A1_decomposicao!F84</f>
        <v/>
      </c>
      <c r="D84" s="3">
        <f>IF(Dados!C84="Baixada (núcleo de 6)",1,0)</f>
        <v/>
      </c>
      <c r="E84" s="3">
        <f>IF(Dados!C84="Metropolitana (resto, 15)",1,0)</f>
        <v/>
      </c>
      <c r="F84" s="3">
        <f>A1_decomposicao!E84</f>
        <v/>
      </c>
    </row>
    <row r="85">
      <c r="A85" s="3">
        <f>Dados!B85</f>
        <v/>
      </c>
      <c r="B85" s="3" t="n">
        <v>1</v>
      </c>
      <c r="C85" s="3">
        <f>A1_decomposicao!F85</f>
        <v/>
      </c>
      <c r="D85" s="3">
        <f>IF(Dados!C85="Baixada (núcleo de 6)",1,0)</f>
        <v/>
      </c>
      <c r="E85" s="3">
        <f>IF(Dados!C85="Metropolitana (resto, 15)",1,0)</f>
        <v/>
      </c>
      <c r="F85" s="3">
        <f>A1_decomposicao!E85</f>
        <v/>
      </c>
    </row>
    <row r="86">
      <c r="A86" s="3">
        <f>Dados!B86</f>
        <v/>
      </c>
      <c r="B86" s="3" t="n">
        <v>1</v>
      </c>
      <c r="C86" s="3">
        <f>A1_decomposicao!F86</f>
        <v/>
      </c>
      <c r="D86" s="3">
        <f>IF(Dados!C86="Baixada (núcleo de 6)",1,0)</f>
        <v/>
      </c>
      <c r="E86" s="3">
        <f>IF(Dados!C86="Metropolitana (resto, 15)",1,0)</f>
        <v/>
      </c>
      <c r="F86" s="3">
        <f>A1_decomposicao!E86</f>
        <v/>
      </c>
    </row>
    <row r="87">
      <c r="A87" s="3">
        <f>Dados!B87</f>
        <v/>
      </c>
      <c r="B87" s="3" t="n">
        <v>1</v>
      </c>
      <c r="C87" s="3">
        <f>A1_decomposicao!F87</f>
        <v/>
      </c>
      <c r="D87" s="3">
        <f>IF(Dados!C87="Baixada (núcleo de 6)",1,0)</f>
        <v/>
      </c>
      <c r="E87" s="3">
        <f>IF(Dados!C87="Metropolitana (resto, 15)",1,0)</f>
        <v/>
      </c>
      <c r="F87" s="3">
        <f>A1_decomposicao!E87</f>
        <v/>
      </c>
    </row>
    <row r="88">
      <c r="A88" s="3">
        <f>Dados!B88</f>
        <v/>
      </c>
      <c r="B88" s="3" t="n">
        <v>1</v>
      </c>
      <c r="C88" s="3">
        <f>A1_decomposicao!F88</f>
        <v/>
      </c>
      <c r="D88" s="3">
        <f>IF(Dados!C88="Baixada (núcleo de 6)",1,0)</f>
        <v/>
      </c>
      <c r="E88" s="3">
        <f>IF(Dados!C88="Metropolitana (resto, 15)",1,0)</f>
        <v/>
      </c>
      <c r="F88" s="3">
        <f>A1_decomposicao!E88</f>
        <v/>
      </c>
    </row>
    <row r="89">
      <c r="A89" s="3">
        <f>Dados!B89</f>
        <v/>
      </c>
      <c r="B89" s="3" t="n">
        <v>1</v>
      </c>
      <c r="C89" s="3">
        <f>A1_decomposicao!F89</f>
        <v/>
      </c>
      <c r="D89" s="3">
        <f>IF(Dados!C89="Baixada (núcleo de 6)",1,0)</f>
        <v/>
      </c>
      <c r="E89" s="3">
        <f>IF(Dados!C89="Metropolitana (resto, 15)",1,0)</f>
        <v/>
      </c>
      <c r="F89" s="3">
        <f>A1_decomposicao!E89</f>
        <v/>
      </c>
    </row>
    <row r="90">
      <c r="A90" s="3">
        <f>Dados!B90</f>
        <v/>
      </c>
      <c r="B90" s="3" t="n">
        <v>1</v>
      </c>
      <c r="C90" s="3">
        <f>A1_decomposicao!F90</f>
        <v/>
      </c>
      <c r="D90" s="3">
        <f>IF(Dados!C90="Baixada (núcleo de 6)",1,0)</f>
        <v/>
      </c>
      <c r="E90" s="3">
        <f>IF(Dados!C90="Metropolitana (resto, 15)",1,0)</f>
        <v/>
      </c>
      <c r="F90" s="3">
        <f>A1_decomposicao!E90</f>
        <v/>
      </c>
    </row>
    <row r="91">
      <c r="A91" s="3">
        <f>Dados!B91</f>
        <v/>
      </c>
      <c r="B91" s="3" t="n">
        <v>1</v>
      </c>
      <c r="C91" s="3">
        <f>A1_decomposicao!F91</f>
        <v/>
      </c>
      <c r="D91" s="3">
        <f>IF(Dados!C91="Baixada (núcleo de 6)",1,0)</f>
        <v/>
      </c>
      <c r="E91" s="3">
        <f>IF(Dados!C91="Metropolitana (resto, 15)",1,0)</f>
        <v/>
      </c>
      <c r="F91" s="3">
        <f>A1_decomposicao!E91</f>
        <v/>
      </c>
    </row>
    <row r="92">
      <c r="A92" s="3">
        <f>Dados!B92</f>
        <v/>
      </c>
      <c r="B92" s="3" t="n">
        <v>1</v>
      </c>
      <c r="C92" s="3">
        <f>A1_decomposicao!F92</f>
        <v/>
      </c>
      <c r="D92" s="3">
        <f>IF(Dados!C92="Baixada (núcleo de 6)",1,0)</f>
        <v/>
      </c>
      <c r="E92" s="3">
        <f>IF(Dados!C92="Metropolitana (resto, 15)",1,0)</f>
        <v/>
      </c>
      <c r="F92" s="3">
        <f>A1_decomposicao!E92</f>
        <v/>
      </c>
    </row>
    <row r="93">
      <c r="A93" s="3">
        <f>Dados!B93</f>
        <v/>
      </c>
      <c r="B93" s="3" t="n">
        <v>1</v>
      </c>
      <c r="C93" s="3">
        <f>A1_decomposicao!F93</f>
        <v/>
      </c>
      <c r="D93" s="3">
        <f>IF(Dados!C93="Baixada (núcleo de 6)",1,0)</f>
        <v/>
      </c>
      <c r="E93" s="3">
        <f>IF(Dados!C93="Metropolitana (resto, 15)",1,0)</f>
        <v/>
      </c>
      <c r="F93" s="3">
        <f>A1_decomposicao!E93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4" t="inlineStr">
        <is>
          <t>Conferência do Analyze (A1 e regressão simples)</t>
        </is>
      </c>
    </row>
    <row r="3">
      <c r="A3" s="4" t="inlineStr">
        <is>
          <t>Referência (média geométrica das 92 cidades)</t>
        </is>
      </c>
    </row>
    <row r="4">
      <c r="A4" s="3" t="inlineStr">
        <is>
          <t>gasto por habitante (R$)</t>
        </is>
      </c>
      <c r="B4" s="3">
        <f>EXP(AVERAGE(A1_decomposicao!E2:E93))</f>
        <v/>
      </c>
    </row>
    <row r="5">
      <c r="A5" s="3" t="inlineStr">
        <is>
          <t>receita por habitante (R$)</t>
        </is>
      </c>
      <c r="B5" s="3">
        <f>EXP(AVERAGE(A1_decomposicao!F2:F93))</f>
        <v/>
      </c>
    </row>
    <row r="6">
      <c r="A6" s="3" t="inlineStr">
        <is>
          <t>fatia da receita na saúde</t>
        </is>
      </c>
      <c r="B6" s="3">
        <f>EXP(AVERAGE(A1_decomposicao!G2:G93))</f>
        <v/>
      </c>
    </row>
    <row r="7">
      <c r="A7" s="4" t="inlineStr">
        <is>
          <t>Correlação (log)</t>
        </is>
      </c>
    </row>
    <row r="8">
      <c r="A8" s="3" t="inlineStr">
        <is>
          <t>gasto x receita</t>
        </is>
      </c>
      <c r="B8" s="3">
        <f>CORREL(A1_decomposicao!E2:E93,A1_decomposicao!F2:F93)</f>
        <v/>
      </c>
    </row>
    <row r="9">
      <c r="A9" s="3" t="inlineStr">
        <is>
          <t>gasto x fatia</t>
        </is>
      </c>
      <c r="B9" s="3">
        <f>CORREL(A1_decomposicao!E2:E93,A1_decomposicao!G2:G93)</f>
        <v/>
      </c>
    </row>
    <row r="10">
      <c r="A10" s="4" t="inlineStr">
        <is>
          <t>Regressão simples em log: ln(gasto) = a + b ln(receita)</t>
        </is>
      </c>
    </row>
    <row r="11">
      <c r="A11" s="3" t="inlineStr">
        <is>
          <t>elasticidade b, 92 cidades</t>
        </is>
      </c>
      <c r="B11" s="3">
        <f>SLOPE(A1_decomposicao!E2:E93,A1_decomposicao!F2:F93)</f>
        <v/>
      </c>
    </row>
    <row r="12">
      <c r="A12" s="3" t="inlineStr">
        <is>
          <t>R2, 92 cidades</t>
        </is>
      </c>
      <c r="B12" s="3">
        <f>RSQ(A1_decomposicao!E2:E93,A1_decomposicao!F2:F93)</f>
        <v/>
      </c>
    </row>
    <row r="13">
      <c r="A13" s="3" t="inlineStr">
        <is>
          <t>elasticidade b, sem a capital (91)</t>
        </is>
      </c>
      <c r="B13" s="3">
        <f>SLOPE(A1_decomposicao!E2:E92,A1_decomposicao!F2:F92)</f>
        <v/>
      </c>
    </row>
    <row r="14">
      <c r="A14" s="3" t="inlineStr">
        <is>
          <t>R2, sem a capital (91)</t>
        </is>
      </c>
      <c r="B14" s="3">
        <f>RSQ(A1_decomposicao!E2:E92,A1_decomposicao!F2:F92)</f>
        <v/>
      </c>
    </row>
    <row r="15">
      <c r="A15" s="4" t="inlineStr">
        <is>
          <t>Capital (última linha de dados)</t>
        </is>
      </c>
    </row>
    <row r="16">
      <c r="A16" s="3" t="inlineStr">
        <is>
          <t>gasto por habitante da capital (R$)</t>
        </is>
      </c>
      <c r="B16" s="3">
        <f>A1_decomposicao!B93</f>
        <v/>
      </c>
    </row>
    <row r="17">
      <c r="A17" s="3" t="inlineStr">
        <is>
          <t>receita por habitante da capital (R$)</t>
        </is>
      </c>
      <c r="B17" s="3">
        <f>A1_decomposicao!C93</f>
        <v/>
      </c>
    </row>
    <row r="18">
      <c r="A18" s="3" t="inlineStr">
        <is>
          <t>fatia da capital</t>
        </is>
      </c>
      <c r="B18" s="3">
        <f>A1_decomposicao!D93</f>
        <v/>
      </c>
    </row>
    <row r="19">
      <c r="A19" s="3" t="inlineStr">
        <is>
          <t>gasto da capital vs referência</t>
        </is>
      </c>
      <c r="B19" s="3">
        <f>A1_decomposicao!L93</f>
        <v/>
      </c>
    </row>
    <row r="20">
      <c r="A20" s="3" t="inlineStr">
        <is>
          <t>receita da capital vs referência</t>
        </is>
      </c>
      <c r="B20" s="3">
        <f>A1_decomposicao!M93</f>
        <v/>
      </c>
    </row>
    <row r="21">
      <c r="A21" s="3" t="inlineStr">
        <is>
          <t>fatia da capital vs referência</t>
        </is>
      </c>
      <c r="B21" s="3">
        <f>A1_decomposicao!N93</f>
        <v/>
      </c>
    </row>
    <row r="22">
      <c r="A22" s="3" t="inlineStr">
        <is>
          <t>mediana da fatia nas 92</t>
        </is>
      </c>
      <c r="B22" s="3">
        <f>MEDIAN(A1_decomposicao!D2:D93)</f>
        <v/>
      </c>
    </row>
    <row r="23">
      <c r="A23" s="3" t="inlineStr">
        <is>
          <t>maior erro da identidade (deve ser ~0)</t>
        </is>
      </c>
      <c r="B23" s="3">
        <f>MAX(MAX(A1_decomposicao!K2:K93),-MIN(A1_decomposicao!K2:K93))</f>
        <v/>
      </c>
    </row>
    <row r="24">
      <c r="A24" s="4" t="inlineStr">
        <is>
          <t>Modelo M3 (91 cidades, sem a capital): ln(gasto) = a + b ln(receita) + Baixada + Resto, mínimos quadrados (LINEST)</t>
        </is>
      </c>
    </row>
    <row r="25">
      <c r="A25" s="3" t="inlineStr">
        <is>
          <t>M3 elasticidade b</t>
        </is>
      </c>
      <c r="B25" s="3">
        <f>INDEX(LINEST(Modelos!F2:F92,Modelos!C2:E92,TRUE,TRUE),1,3)</f>
        <v/>
      </c>
    </row>
    <row r="26">
      <c r="A26" s="3" t="inlineStr">
        <is>
          <t>M3 efeito Baixada (%)</t>
        </is>
      </c>
      <c r="B26" s="3">
        <f>EXP(INDEX(LINEST(Modelos!F2:F92,Modelos!C2:E92,TRUE,TRUE),1,2))-1</f>
        <v/>
      </c>
    </row>
    <row r="27">
      <c r="A27" s="3" t="inlineStr">
        <is>
          <t>M3 efeito Resto da Metropolitana (%)</t>
        </is>
      </c>
      <c r="B27" s="3">
        <f>EXP(INDEX(LINEST(Modelos!F2:F92,Modelos!C2:E92,TRUE,TRUE),1,1))-1</f>
        <v/>
      </c>
    </row>
    <row r="28">
      <c r="A28" s="3" t="inlineStr">
        <is>
          <t>M3 R2</t>
        </is>
      </c>
      <c r="B28" s="3">
        <f>INDEX(LINEST(Modelos!F2:F92,Modelos!C2:E92,TRUE,TRUE),3,1)</f>
        <v/>
      </c>
    </row>
    <row r="29">
      <c r="A29" s="3" t="inlineStr">
        <is>
          <t>M3 erro-padrão da regressão (s)</t>
        </is>
      </c>
      <c r="B29" s="3">
        <f>INDEX(LINEST(Modelos!F2:F92,Modelos!C2:E92,TRUE,TRUE),3,2)</f>
        <v/>
      </c>
    </row>
    <row r="30">
      <c r="A30" s="4" t="inlineStr">
        <is>
          <t>Capital prevista pelo M3 (como resto da Metropolitana)</t>
        </is>
      </c>
    </row>
    <row r="31">
      <c r="A31" s="3" t="inlineStr">
        <is>
          <t>ln do gasto previsto</t>
        </is>
      </c>
      <c r="B31" s="3">
        <f>INDEX(LINEST(Modelos!F2:F92,Modelos!C2:E92,TRUE,TRUE),1,4)+INDEX(LINEST(Modelos!F2:F92,Modelos!C2:E92,TRUE,TRUE),1,3)*Modelos!I2+INDEX(LINEST(Modelos!F2:F92,Modelos!C2:E92,TRUE,TRUE),1,1)</f>
        <v/>
      </c>
    </row>
    <row r="32">
      <c r="A32" s="3" t="inlineStr">
        <is>
          <t>gasto previsto (R$ por habitante)</t>
        </is>
      </c>
      <c r="B32" s="3">
        <f>EXP(B31)</f>
        <v/>
      </c>
    </row>
    <row r="33">
      <c r="A33" s="3" t="inlineStr">
        <is>
          <t>alavanca da capital (x0 (X'X)^-1 x0')</t>
        </is>
      </c>
      <c r="B33" s="3">
        <f>SUMPRODUCT(MMULT(Modelos!H2:K2,Modelos!H5:K8),Modelos!H2:K2)</f>
        <v/>
      </c>
    </row>
    <row r="34">
      <c r="A34" s="3" t="inlineStr">
        <is>
          <t>t crítico (95%, 87 graus de liberdade)</t>
        </is>
      </c>
      <c r="B34" s="3">
        <f>TINV(0.05,87)</f>
        <v/>
      </c>
    </row>
    <row r="35">
      <c r="A35" s="3" t="inlineStr">
        <is>
          <t>limite inferior do intervalo de previsão (R$)</t>
        </is>
      </c>
      <c r="B35" s="3">
        <f>EXP(B31-B34*B29*SQRT(1+B33))</f>
        <v/>
      </c>
    </row>
    <row r="36">
      <c r="A36" s="3" t="inlineStr">
        <is>
          <t>limite superior do intervalo de previsão (R$)</t>
        </is>
      </c>
      <c r="B36" s="3">
        <f>EXP(B31+B34*B29*SQRT(1+B33))</f>
        <v/>
      </c>
    </row>
    <row r="37">
      <c r="A37" s="3" t="inlineStr">
        <is>
          <t>gasto real da capital em relação ao previsto</t>
        </is>
      </c>
      <c r="B37" s="3">
        <f>B16/B32-1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2026-10-24T18:44:12Z</dcterms:created>
  <dcterms:modified xmlns:dcterms="http://purl.org/dc/terms/" xmlns:xsi="http://www.w3.org/2001/XMLSchema-instance" xsi:type="dcterms:W3CDTF">2026-10-24T18:44:12Z</dcterms:modified>
</cp:coreProperties>
</file>