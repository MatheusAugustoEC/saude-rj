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ugusto\Desktop\Projetos\saude-fiscal-rj\planilhas\"/>
    </mc:Choice>
  </mc:AlternateContent>
  <xr:revisionPtr revIDLastSave="0" documentId="8_{28C35DA0-21D2-48D0-BC5C-7AA7E9E706E5}" xr6:coauthVersionLast="47" xr6:coauthVersionMax="47" xr10:uidLastSave="{00000000-0000-0000-0000-000000000000}"/>
  <bookViews>
    <workbookView xWindow="-114" yWindow="-114" windowWidth="36727" windowHeight="14927" xr2:uid="{00000000-000D-0000-FFFF-FFFF00000000}"/>
  </bookViews>
  <sheets>
    <sheet name="Leia-me" sheetId="1" r:id="rId1"/>
    <sheet name="Estados" sheetId="2" r:id="rId2"/>
    <sheet name="Municípios RJ" sheetId="3" r:id="rId3"/>
    <sheet name="Com e sem" sheetId="4" r:id="rId4"/>
    <sheet name="Dados dos gráficos" sheetId="5" r:id="rId5"/>
    <sheet name="Gráficos" sheetId="6" r:id="rId6"/>
    <sheet name="Legenda" sheetId="7" r:id="rId7"/>
  </sheets>
  <definedNames>
    <definedName name="_FilterDatabase" localSheetId="1" hidden="1">Estados!$A$1:$AE$28</definedName>
    <definedName name="_FilterDatabase" localSheetId="2" hidden="1">'Municípios RJ'!$A$1:$AC$93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30" i="5" l="1"/>
  <c r="K29" i="5"/>
  <c r="K28" i="5"/>
  <c r="K27" i="5"/>
  <c r="K26" i="5"/>
  <c r="K25" i="5"/>
  <c r="K24" i="5"/>
  <c r="K23" i="5"/>
  <c r="K22" i="5"/>
  <c r="K21" i="5"/>
  <c r="K20" i="5"/>
  <c r="K19" i="5"/>
  <c r="K18" i="5"/>
  <c r="K17" i="5"/>
  <c r="K16" i="5"/>
  <c r="K15" i="5"/>
  <c r="K14" i="5"/>
  <c r="K13" i="5"/>
  <c r="K12" i="5"/>
  <c r="K11" i="5"/>
  <c r="K10" i="5"/>
  <c r="K9" i="5"/>
  <c r="K8" i="5"/>
  <c r="K7" i="5"/>
  <c r="K6" i="5"/>
  <c r="K5" i="5"/>
  <c r="K4" i="5"/>
  <c r="C103" i="4"/>
  <c r="B103" i="4"/>
  <c r="A103" i="4"/>
  <c r="O102" i="4"/>
  <c r="C102" i="4"/>
  <c r="H102" i="4" s="1"/>
  <c r="B102" i="4"/>
  <c r="A102" i="4"/>
  <c r="C101" i="4"/>
  <c r="B101" i="4"/>
  <c r="A101" i="4"/>
  <c r="C100" i="4"/>
  <c r="B100" i="4"/>
  <c r="A100" i="4"/>
  <c r="C99" i="4"/>
  <c r="B99" i="4"/>
  <c r="A99" i="4"/>
  <c r="C98" i="4"/>
  <c r="B98" i="4"/>
  <c r="A98" i="4"/>
  <c r="C97" i="4"/>
  <c r="B97" i="4"/>
  <c r="A97" i="4"/>
  <c r="C96" i="4"/>
  <c r="E96" i="4" s="1"/>
  <c r="B96" i="4"/>
  <c r="O96" i="4" s="1"/>
  <c r="A96" i="4"/>
  <c r="C95" i="4"/>
  <c r="B95" i="4"/>
  <c r="A95" i="4"/>
  <c r="C94" i="4"/>
  <c r="B94" i="4"/>
  <c r="A94" i="4"/>
  <c r="C93" i="4"/>
  <c r="B93" i="4"/>
  <c r="A93" i="4"/>
  <c r="C92" i="4"/>
  <c r="B92" i="4"/>
  <c r="A92" i="4"/>
  <c r="C91" i="4"/>
  <c r="B91" i="4"/>
  <c r="A91" i="4"/>
  <c r="C90" i="4"/>
  <c r="B90" i="4"/>
  <c r="A90" i="4"/>
  <c r="C89" i="4"/>
  <c r="B89" i="4"/>
  <c r="A89" i="4"/>
  <c r="C88" i="4"/>
  <c r="B88" i="4"/>
  <c r="A88" i="4"/>
  <c r="C87" i="4"/>
  <c r="B87" i="4"/>
  <c r="A87" i="4"/>
  <c r="C86" i="4"/>
  <c r="B86" i="4"/>
  <c r="A86" i="4"/>
  <c r="C85" i="4"/>
  <c r="B85" i="4"/>
  <c r="A85" i="4"/>
  <c r="C84" i="4"/>
  <c r="B84" i="4"/>
  <c r="A84" i="4"/>
  <c r="C83" i="4"/>
  <c r="N83" i="4" s="1"/>
  <c r="B83" i="4"/>
  <c r="A83" i="4"/>
  <c r="C82" i="4"/>
  <c r="B82" i="4"/>
  <c r="A82" i="4"/>
  <c r="C81" i="4"/>
  <c r="B81" i="4"/>
  <c r="A81" i="4"/>
  <c r="C80" i="4"/>
  <c r="B80" i="4"/>
  <c r="A80" i="4"/>
  <c r="C79" i="4"/>
  <c r="B79" i="4"/>
  <c r="A79" i="4"/>
  <c r="C78" i="4"/>
  <c r="B78" i="4"/>
  <c r="A78" i="4"/>
  <c r="N77" i="4"/>
  <c r="H77" i="4"/>
  <c r="C77" i="4"/>
  <c r="K77" i="4" s="1"/>
  <c r="B77" i="4"/>
  <c r="A77" i="4"/>
  <c r="C76" i="4"/>
  <c r="B76" i="4"/>
  <c r="A76" i="4"/>
  <c r="C75" i="4"/>
  <c r="B75" i="4"/>
  <c r="A75" i="4"/>
  <c r="C74" i="4"/>
  <c r="B74" i="4"/>
  <c r="A74" i="4"/>
  <c r="N73" i="4"/>
  <c r="K73" i="4"/>
  <c r="C73" i="4"/>
  <c r="H73" i="4" s="1"/>
  <c r="B73" i="4"/>
  <c r="L73" i="4" s="1"/>
  <c r="A73" i="4"/>
  <c r="C72" i="4"/>
  <c r="B72" i="4"/>
  <c r="A72" i="4"/>
  <c r="C71" i="4"/>
  <c r="H71" i="4" s="1"/>
  <c r="B71" i="4"/>
  <c r="A71" i="4"/>
  <c r="C70" i="4"/>
  <c r="E70" i="4" s="1"/>
  <c r="B70" i="4"/>
  <c r="A70" i="4"/>
  <c r="C69" i="4"/>
  <c r="B69" i="4"/>
  <c r="A69" i="4"/>
  <c r="C68" i="4"/>
  <c r="N68" i="4" s="1"/>
  <c r="B68" i="4"/>
  <c r="O68" i="4" s="1"/>
  <c r="A68" i="4"/>
  <c r="L67" i="4"/>
  <c r="H67" i="4"/>
  <c r="E67" i="4"/>
  <c r="C67" i="4"/>
  <c r="B67" i="4"/>
  <c r="F67" i="4" s="1"/>
  <c r="A67" i="4"/>
  <c r="C66" i="4"/>
  <c r="B66" i="4"/>
  <c r="A66" i="4"/>
  <c r="C65" i="4"/>
  <c r="B65" i="4"/>
  <c r="F65" i="4" s="1"/>
  <c r="A65" i="4"/>
  <c r="C64" i="4"/>
  <c r="B64" i="4"/>
  <c r="A64" i="4"/>
  <c r="C63" i="4"/>
  <c r="B63" i="4"/>
  <c r="A63" i="4"/>
  <c r="C62" i="4"/>
  <c r="B62" i="4"/>
  <c r="A62" i="4"/>
  <c r="C61" i="4"/>
  <c r="B61" i="4"/>
  <c r="O61" i="4" s="1"/>
  <c r="A61" i="4"/>
  <c r="C60" i="4"/>
  <c r="B60" i="4"/>
  <c r="A60" i="4"/>
  <c r="C59" i="4"/>
  <c r="B59" i="4"/>
  <c r="A59" i="4"/>
  <c r="C58" i="4"/>
  <c r="B58" i="4"/>
  <c r="A58" i="4"/>
  <c r="N57" i="4"/>
  <c r="K57" i="4"/>
  <c r="C57" i="4"/>
  <c r="H57" i="4" s="1"/>
  <c r="B57" i="4"/>
  <c r="L57" i="4" s="1"/>
  <c r="A57" i="4"/>
  <c r="C56" i="4"/>
  <c r="B56" i="4"/>
  <c r="I56" i="4" s="1"/>
  <c r="A56" i="4"/>
  <c r="C55" i="4"/>
  <c r="I55" i="4" s="1"/>
  <c r="B55" i="4"/>
  <c r="A55" i="4"/>
  <c r="C54" i="4"/>
  <c r="B54" i="4"/>
  <c r="A54" i="4"/>
  <c r="C53" i="4"/>
  <c r="B53" i="4"/>
  <c r="A53" i="4"/>
  <c r="C52" i="4"/>
  <c r="B52" i="4"/>
  <c r="A52" i="4"/>
  <c r="C51" i="4"/>
  <c r="H51" i="4" s="1"/>
  <c r="B51" i="4"/>
  <c r="A51" i="4"/>
  <c r="C50" i="4"/>
  <c r="B50" i="4"/>
  <c r="A50" i="4"/>
  <c r="C49" i="4"/>
  <c r="B49" i="4"/>
  <c r="A49" i="4"/>
  <c r="C48" i="4"/>
  <c r="E48" i="4" s="1"/>
  <c r="B48" i="4"/>
  <c r="A48" i="4"/>
  <c r="C47" i="4"/>
  <c r="B47" i="4"/>
  <c r="A47" i="4"/>
  <c r="C46" i="4"/>
  <c r="B46" i="4"/>
  <c r="A46" i="4"/>
  <c r="C45" i="4"/>
  <c r="B45" i="4"/>
  <c r="A45" i="4"/>
  <c r="D44" i="4"/>
  <c r="C44" i="4"/>
  <c r="L44" i="4" s="1"/>
  <c r="B44" i="4"/>
  <c r="A44" i="4"/>
  <c r="C43" i="4"/>
  <c r="B43" i="4"/>
  <c r="A43" i="4"/>
  <c r="O42" i="4"/>
  <c r="C42" i="4"/>
  <c r="K42" i="4" s="1"/>
  <c r="B42" i="4"/>
  <c r="L42" i="4" s="1"/>
  <c r="A42" i="4"/>
  <c r="C41" i="4"/>
  <c r="B41" i="4"/>
  <c r="A41" i="4"/>
  <c r="C40" i="4"/>
  <c r="B40" i="4"/>
  <c r="A40" i="4"/>
  <c r="C39" i="4"/>
  <c r="B39" i="4"/>
  <c r="A39" i="4"/>
  <c r="C38" i="4"/>
  <c r="B38" i="4"/>
  <c r="A38" i="4"/>
  <c r="C37" i="4"/>
  <c r="B37" i="4"/>
  <c r="A37" i="4"/>
  <c r="C36" i="4"/>
  <c r="B36" i="4"/>
  <c r="F36" i="4" s="1"/>
  <c r="A36" i="4"/>
  <c r="C35" i="4"/>
  <c r="B35" i="4"/>
  <c r="A35" i="4"/>
  <c r="C34" i="4"/>
  <c r="B34" i="4"/>
  <c r="A34" i="4"/>
  <c r="C33" i="4"/>
  <c r="B33" i="4"/>
  <c r="A33" i="4"/>
  <c r="C32" i="4"/>
  <c r="B32" i="4"/>
  <c r="A32" i="4"/>
  <c r="C31" i="4"/>
  <c r="H31" i="4" s="1"/>
  <c r="B31" i="4"/>
  <c r="I31" i="4" s="1"/>
  <c r="A31" i="4"/>
  <c r="C30" i="4"/>
  <c r="B30" i="4"/>
  <c r="A30" i="4"/>
  <c r="C29" i="4"/>
  <c r="B29" i="4"/>
  <c r="F29" i="4" s="1"/>
  <c r="A29" i="4"/>
  <c r="C28" i="4"/>
  <c r="B28" i="4"/>
  <c r="A28" i="4"/>
  <c r="C27" i="4"/>
  <c r="N27" i="4" s="1"/>
  <c r="B27" i="4"/>
  <c r="A27" i="4"/>
  <c r="C26" i="4"/>
  <c r="B26" i="4"/>
  <c r="A26" i="4"/>
  <c r="C25" i="4"/>
  <c r="B25" i="4"/>
  <c r="A25" i="4"/>
  <c r="C24" i="4"/>
  <c r="B24" i="4"/>
  <c r="A24" i="4"/>
  <c r="C23" i="4"/>
  <c r="B23" i="4"/>
  <c r="A23" i="4"/>
  <c r="C22" i="4"/>
  <c r="H22" i="4" s="1"/>
  <c r="B22" i="4"/>
  <c r="A22" i="4"/>
  <c r="C21" i="4"/>
  <c r="B21" i="4"/>
  <c r="A21" i="4"/>
  <c r="C20" i="4"/>
  <c r="B20" i="4"/>
  <c r="G20" i="4" s="1"/>
  <c r="A20" i="4"/>
  <c r="C19" i="4"/>
  <c r="B19" i="4"/>
  <c r="A19" i="4"/>
  <c r="C18" i="4"/>
  <c r="B18" i="4"/>
  <c r="A18" i="4"/>
  <c r="C17" i="4"/>
  <c r="B17" i="4"/>
  <c r="A17" i="4"/>
  <c r="C16" i="4"/>
  <c r="E16" i="4" s="1"/>
  <c r="B16" i="4"/>
  <c r="J16" i="4" s="1"/>
  <c r="A16" i="4"/>
  <c r="O15" i="4"/>
  <c r="M15" i="4"/>
  <c r="C15" i="4"/>
  <c r="H15" i="4" s="1"/>
  <c r="B15" i="4"/>
  <c r="L15" i="4" s="1"/>
  <c r="A15" i="4"/>
  <c r="C14" i="4"/>
  <c r="B14" i="4"/>
  <c r="A14" i="4"/>
  <c r="C13" i="4"/>
  <c r="B13" i="4"/>
  <c r="A13" i="4"/>
  <c r="C12" i="4"/>
  <c r="N12" i="4" s="1"/>
  <c r="B12" i="4"/>
  <c r="I12" i="4" s="1"/>
  <c r="A12" i="4"/>
  <c r="X93" i="3"/>
  <c r="W93" i="3"/>
  <c r="V93" i="3"/>
  <c r="U93" i="3"/>
  <c r="T93" i="3"/>
  <c r="S93" i="3"/>
  <c r="N103" i="4" s="1"/>
  <c r="R93" i="3"/>
  <c r="Q93" i="3"/>
  <c r="H103" i="4" s="1"/>
  <c r="P93" i="3"/>
  <c r="X92" i="3"/>
  <c r="W92" i="3"/>
  <c r="U92" i="3"/>
  <c r="T92" i="3"/>
  <c r="V92" i="3" s="1"/>
  <c r="S92" i="3"/>
  <c r="R92" i="3"/>
  <c r="Q92" i="3"/>
  <c r="P92" i="3"/>
  <c r="X91" i="3"/>
  <c r="W91" i="3"/>
  <c r="U91" i="3"/>
  <c r="T91" i="3"/>
  <c r="V91" i="3" s="1"/>
  <c r="S91" i="3"/>
  <c r="R91" i="3"/>
  <c r="Q91" i="3"/>
  <c r="P91" i="3"/>
  <c r="X90" i="3"/>
  <c r="W90" i="3"/>
  <c r="U90" i="3"/>
  <c r="T90" i="3"/>
  <c r="V90" i="3" s="1"/>
  <c r="K100" i="4" s="1"/>
  <c r="S90" i="3"/>
  <c r="O100" i="4" s="1"/>
  <c r="R90" i="3"/>
  <c r="Q90" i="3"/>
  <c r="P90" i="3"/>
  <c r="X89" i="3"/>
  <c r="W89" i="3"/>
  <c r="U89" i="3"/>
  <c r="T89" i="3"/>
  <c r="V89" i="3" s="1"/>
  <c r="S89" i="3"/>
  <c r="R89" i="3"/>
  <c r="Q89" i="3"/>
  <c r="P89" i="3"/>
  <c r="D99" i="4" s="1"/>
  <c r="X88" i="3"/>
  <c r="W88" i="3"/>
  <c r="U88" i="3"/>
  <c r="T88" i="3"/>
  <c r="V88" i="3" s="1"/>
  <c r="S88" i="3"/>
  <c r="O98" i="4" s="1"/>
  <c r="R88" i="3"/>
  <c r="Q88" i="3"/>
  <c r="P88" i="3"/>
  <c r="X87" i="3"/>
  <c r="W87" i="3"/>
  <c r="U87" i="3"/>
  <c r="T87" i="3"/>
  <c r="V87" i="3" s="1"/>
  <c r="S87" i="3"/>
  <c r="R87" i="3"/>
  <c r="Q87" i="3"/>
  <c r="P87" i="3"/>
  <c r="X86" i="3"/>
  <c r="W86" i="3"/>
  <c r="V86" i="3"/>
  <c r="J96" i="4" s="1"/>
  <c r="U86" i="3"/>
  <c r="T86" i="3"/>
  <c r="S86" i="3"/>
  <c r="M96" i="4" s="1"/>
  <c r="R86" i="3"/>
  <c r="Q86" i="3"/>
  <c r="P86" i="3"/>
  <c r="X85" i="3"/>
  <c r="W85" i="3"/>
  <c r="V85" i="3"/>
  <c r="U85" i="3"/>
  <c r="T85" i="3"/>
  <c r="S85" i="3"/>
  <c r="R85" i="3"/>
  <c r="Q85" i="3"/>
  <c r="P85" i="3"/>
  <c r="F95" i="4" s="1"/>
  <c r="X84" i="3"/>
  <c r="W84" i="3"/>
  <c r="U84" i="3"/>
  <c r="T84" i="3"/>
  <c r="V84" i="3" s="1"/>
  <c r="S84" i="3"/>
  <c r="R84" i="3"/>
  <c r="Q84" i="3"/>
  <c r="P84" i="3"/>
  <c r="X83" i="3"/>
  <c r="W83" i="3"/>
  <c r="V83" i="3"/>
  <c r="U83" i="3"/>
  <c r="T83" i="3"/>
  <c r="S83" i="3"/>
  <c r="R83" i="3"/>
  <c r="Q83" i="3"/>
  <c r="P83" i="3"/>
  <c r="X82" i="3"/>
  <c r="W82" i="3"/>
  <c r="U82" i="3"/>
  <c r="T82" i="3"/>
  <c r="V82" i="3" s="1"/>
  <c r="S82" i="3"/>
  <c r="R82" i="3"/>
  <c r="Q82" i="3"/>
  <c r="I92" i="4" s="1"/>
  <c r="P82" i="3"/>
  <c r="X81" i="3"/>
  <c r="W81" i="3"/>
  <c r="V81" i="3"/>
  <c r="K91" i="4" s="1"/>
  <c r="U81" i="3"/>
  <c r="T81" i="3"/>
  <c r="S81" i="3"/>
  <c r="M91" i="4" s="1"/>
  <c r="R81" i="3"/>
  <c r="Q81" i="3"/>
  <c r="H91" i="4" s="1"/>
  <c r="P81" i="3"/>
  <c r="X80" i="3"/>
  <c r="W80" i="3"/>
  <c r="V80" i="3"/>
  <c r="U80" i="3"/>
  <c r="T80" i="3"/>
  <c r="S80" i="3"/>
  <c r="R80" i="3"/>
  <c r="Q80" i="3"/>
  <c r="G90" i="4" s="1"/>
  <c r="P80" i="3"/>
  <c r="D90" i="4" s="1"/>
  <c r="X79" i="3"/>
  <c r="W79" i="3"/>
  <c r="U79" i="3"/>
  <c r="T79" i="3"/>
  <c r="V79" i="3" s="1"/>
  <c r="K89" i="4" s="1"/>
  <c r="S79" i="3"/>
  <c r="R79" i="3"/>
  <c r="Q79" i="3"/>
  <c r="P79" i="3"/>
  <c r="X78" i="3"/>
  <c r="W78" i="3"/>
  <c r="U78" i="3"/>
  <c r="T78" i="3"/>
  <c r="V78" i="3" s="1"/>
  <c r="S78" i="3"/>
  <c r="R78" i="3"/>
  <c r="Q78" i="3"/>
  <c r="H88" i="4" s="1"/>
  <c r="P78" i="3"/>
  <c r="X77" i="3"/>
  <c r="W77" i="3"/>
  <c r="U77" i="3"/>
  <c r="T77" i="3"/>
  <c r="V77" i="3" s="1"/>
  <c r="S77" i="3"/>
  <c r="N87" i="4" s="1"/>
  <c r="R77" i="3"/>
  <c r="Q77" i="3"/>
  <c r="P77" i="3"/>
  <c r="D87" i="4" s="1"/>
  <c r="X76" i="3"/>
  <c r="W76" i="3"/>
  <c r="U76" i="3"/>
  <c r="T76" i="3"/>
  <c r="V76" i="3" s="1"/>
  <c r="S76" i="3"/>
  <c r="M86" i="4" s="1"/>
  <c r="R76" i="3"/>
  <c r="Q76" i="3"/>
  <c r="H86" i="4" s="1"/>
  <c r="P76" i="3"/>
  <c r="X75" i="3"/>
  <c r="W75" i="3"/>
  <c r="U75" i="3"/>
  <c r="T75" i="3"/>
  <c r="V75" i="3" s="1"/>
  <c r="K85" i="4" s="1"/>
  <c r="S75" i="3"/>
  <c r="R75" i="3"/>
  <c r="Q75" i="3"/>
  <c r="G85" i="4" s="1"/>
  <c r="P75" i="3"/>
  <c r="E85" i="4" s="1"/>
  <c r="X74" i="3"/>
  <c r="W74" i="3"/>
  <c r="U74" i="3"/>
  <c r="T74" i="3"/>
  <c r="V74" i="3" s="1"/>
  <c r="S74" i="3"/>
  <c r="O84" i="4" s="1"/>
  <c r="R74" i="3"/>
  <c r="Q74" i="3"/>
  <c r="P74" i="3"/>
  <c r="X73" i="3"/>
  <c r="W73" i="3"/>
  <c r="U73" i="3"/>
  <c r="T73" i="3"/>
  <c r="V73" i="3" s="1"/>
  <c r="S73" i="3"/>
  <c r="R73" i="3"/>
  <c r="Q73" i="3"/>
  <c r="P73" i="3"/>
  <c r="X72" i="3"/>
  <c r="W72" i="3"/>
  <c r="U72" i="3"/>
  <c r="T72" i="3"/>
  <c r="V72" i="3" s="1"/>
  <c r="S72" i="3"/>
  <c r="R72" i="3"/>
  <c r="Q72" i="3"/>
  <c r="P72" i="3"/>
  <c r="D82" i="4" s="1"/>
  <c r="X71" i="3"/>
  <c r="W71" i="3"/>
  <c r="U71" i="3"/>
  <c r="T71" i="3"/>
  <c r="V71" i="3" s="1"/>
  <c r="S71" i="3"/>
  <c r="M81" i="4" s="1"/>
  <c r="R71" i="3"/>
  <c r="Q71" i="3"/>
  <c r="P71" i="3"/>
  <c r="F81" i="4" s="1"/>
  <c r="X70" i="3"/>
  <c r="W70" i="3"/>
  <c r="U70" i="3"/>
  <c r="T70" i="3"/>
  <c r="V70" i="3" s="1"/>
  <c r="K80" i="4" s="1"/>
  <c r="S70" i="3"/>
  <c r="N80" i="4" s="1"/>
  <c r="R70" i="3"/>
  <c r="Q70" i="3"/>
  <c r="H80" i="4" s="1"/>
  <c r="P70" i="3"/>
  <c r="E80" i="4" s="1"/>
  <c r="X69" i="3"/>
  <c r="W69" i="3"/>
  <c r="U69" i="3"/>
  <c r="T69" i="3"/>
  <c r="V69" i="3" s="1"/>
  <c r="S69" i="3"/>
  <c r="R69" i="3"/>
  <c r="Q69" i="3"/>
  <c r="P69" i="3"/>
  <c r="X68" i="3"/>
  <c r="W68" i="3"/>
  <c r="U68" i="3"/>
  <c r="T68" i="3"/>
  <c r="V68" i="3" s="1"/>
  <c r="S68" i="3"/>
  <c r="R68" i="3"/>
  <c r="Q68" i="3"/>
  <c r="P68" i="3"/>
  <c r="X67" i="3"/>
  <c r="W67" i="3"/>
  <c r="U67" i="3"/>
  <c r="T67" i="3"/>
  <c r="V67" i="3" s="1"/>
  <c r="S67" i="3"/>
  <c r="R67" i="3"/>
  <c r="Q67" i="3"/>
  <c r="P67" i="3"/>
  <c r="X66" i="3"/>
  <c r="W66" i="3"/>
  <c r="U66" i="3"/>
  <c r="T66" i="3"/>
  <c r="V66" i="3" s="1"/>
  <c r="S66" i="3"/>
  <c r="R66" i="3"/>
  <c r="Q66" i="3"/>
  <c r="P66" i="3"/>
  <c r="X65" i="3"/>
  <c r="W65" i="3"/>
  <c r="V65" i="3"/>
  <c r="K75" i="4" s="1"/>
  <c r="U65" i="3"/>
  <c r="T65" i="3"/>
  <c r="S65" i="3"/>
  <c r="M75" i="4" s="1"/>
  <c r="R65" i="3"/>
  <c r="Q65" i="3"/>
  <c r="H75" i="4" s="1"/>
  <c r="P65" i="3"/>
  <c r="X64" i="3"/>
  <c r="W64" i="3"/>
  <c r="U64" i="3"/>
  <c r="T64" i="3"/>
  <c r="V64" i="3" s="1"/>
  <c r="S64" i="3"/>
  <c r="R64" i="3"/>
  <c r="Q64" i="3"/>
  <c r="G74" i="4" s="1"/>
  <c r="P64" i="3"/>
  <c r="D74" i="4" s="1"/>
  <c r="X63" i="3"/>
  <c r="W63" i="3"/>
  <c r="U63" i="3"/>
  <c r="T63" i="3"/>
  <c r="V63" i="3" s="1"/>
  <c r="S63" i="3"/>
  <c r="R63" i="3"/>
  <c r="Q63" i="3"/>
  <c r="P63" i="3"/>
  <c r="X62" i="3"/>
  <c r="W62" i="3"/>
  <c r="V62" i="3"/>
  <c r="J72" i="4" s="1"/>
  <c r="U62" i="3"/>
  <c r="T62" i="3"/>
  <c r="S62" i="3"/>
  <c r="R62" i="3"/>
  <c r="Q62" i="3"/>
  <c r="H72" i="4" s="1"/>
  <c r="P62" i="3"/>
  <c r="E72" i="4" s="1"/>
  <c r="X61" i="3"/>
  <c r="W61" i="3"/>
  <c r="U61" i="3"/>
  <c r="T61" i="3"/>
  <c r="V61" i="3" s="1"/>
  <c r="S61" i="3"/>
  <c r="R61" i="3"/>
  <c r="Q61" i="3"/>
  <c r="G71" i="4" s="1"/>
  <c r="P61" i="3"/>
  <c r="D71" i="4" s="1"/>
  <c r="X60" i="3"/>
  <c r="W60" i="3"/>
  <c r="U60" i="3"/>
  <c r="T60" i="3"/>
  <c r="V60" i="3" s="1"/>
  <c r="S60" i="3"/>
  <c r="M70" i="4" s="1"/>
  <c r="R60" i="3"/>
  <c r="Q60" i="3"/>
  <c r="P60" i="3"/>
  <c r="X59" i="3"/>
  <c r="W59" i="3"/>
  <c r="U59" i="3"/>
  <c r="T59" i="3"/>
  <c r="V59" i="3" s="1"/>
  <c r="K69" i="4" s="1"/>
  <c r="S59" i="3"/>
  <c r="R59" i="3"/>
  <c r="Q59" i="3"/>
  <c r="G69" i="4" s="1"/>
  <c r="P59" i="3"/>
  <c r="E69" i="4" s="1"/>
  <c r="X58" i="3"/>
  <c r="W58" i="3"/>
  <c r="U58" i="3"/>
  <c r="T58" i="3"/>
  <c r="V58" i="3" s="1"/>
  <c r="J68" i="4" s="1"/>
  <c r="S58" i="3"/>
  <c r="R58" i="3"/>
  <c r="Q58" i="3"/>
  <c r="P58" i="3"/>
  <c r="X57" i="3"/>
  <c r="W57" i="3"/>
  <c r="U57" i="3"/>
  <c r="T57" i="3"/>
  <c r="V57" i="3" s="1"/>
  <c r="J67" i="4" s="1"/>
  <c r="S57" i="3"/>
  <c r="M67" i="4" s="1"/>
  <c r="R57" i="3"/>
  <c r="Q57" i="3"/>
  <c r="G67" i="4" s="1"/>
  <c r="P57" i="3"/>
  <c r="D67" i="4" s="1"/>
  <c r="X56" i="3"/>
  <c r="W56" i="3"/>
  <c r="U56" i="3"/>
  <c r="T56" i="3"/>
  <c r="V56" i="3" s="1"/>
  <c r="S56" i="3"/>
  <c r="R56" i="3"/>
  <c r="Q56" i="3"/>
  <c r="I66" i="4" s="1"/>
  <c r="P56" i="3"/>
  <c r="X55" i="3"/>
  <c r="W55" i="3"/>
  <c r="U55" i="3"/>
  <c r="T55" i="3"/>
  <c r="V55" i="3" s="1"/>
  <c r="S55" i="3"/>
  <c r="M65" i="4" s="1"/>
  <c r="R55" i="3"/>
  <c r="Q55" i="3"/>
  <c r="P55" i="3"/>
  <c r="X54" i="3"/>
  <c r="W54" i="3"/>
  <c r="U54" i="3"/>
  <c r="T54" i="3"/>
  <c r="V54" i="3" s="1"/>
  <c r="K64" i="4" s="1"/>
  <c r="S54" i="3"/>
  <c r="R54" i="3"/>
  <c r="Q54" i="3"/>
  <c r="P54" i="3"/>
  <c r="X53" i="3"/>
  <c r="W53" i="3"/>
  <c r="U53" i="3"/>
  <c r="T53" i="3"/>
  <c r="V53" i="3" s="1"/>
  <c r="S53" i="3"/>
  <c r="R53" i="3"/>
  <c r="Q53" i="3"/>
  <c r="P53" i="3"/>
  <c r="D63" i="4" s="1"/>
  <c r="X52" i="3"/>
  <c r="W52" i="3"/>
  <c r="U52" i="3"/>
  <c r="T52" i="3"/>
  <c r="V52" i="3" s="1"/>
  <c r="J62" i="4" s="1"/>
  <c r="S52" i="3"/>
  <c r="R52" i="3"/>
  <c r="Q52" i="3"/>
  <c r="G62" i="4" s="1"/>
  <c r="P52" i="3"/>
  <c r="D62" i="4" s="1"/>
  <c r="X51" i="3"/>
  <c r="W51" i="3"/>
  <c r="U51" i="3"/>
  <c r="T51" i="3"/>
  <c r="V51" i="3" s="1"/>
  <c r="S51" i="3"/>
  <c r="N61" i="4" s="1"/>
  <c r="R51" i="3"/>
  <c r="Q51" i="3"/>
  <c r="H61" i="4" s="1"/>
  <c r="P51" i="3"/>
  <c r="E61" i="4" s="1"/>
  <c r="X50" i="3"/>
  <c r="W50" i="3"/>
  <c r="V50" i="3"/>
  <c r="U50" i="3"/>
  <c r="T50" i="3"/>
  <c r="S50" i="3"/>
  <c r="M60" i="4" s="1"/>
  <c r="R50" i="3"/>
  <c r="Q50" i="3"/>
  <c r="P50" i="3"/>
  <c r="X49" i="3"/>
  <c r="W49" i="3"/>
  <c r="U49" i="3"/>
  <c r="T49" i="3"/>
  <c r="V49" i="3" s="1"/>
  <c r="K59" i="4" s="1"/>
  <c r="S49" i="3"/>
  <c r="R49" i="3"/>
  <c r="Q49" i="3"/>
  <c r="P49" i="3"/>
  <c r="X48" i="3"/>
  <c r="W48" i="3"/>
  <c r="U48" i="3"/>
  <c r="T48" i="3"/>
  <c r="V48" i="3" s="1"/>
  <c r="S48" i="3"/>
  <c r="R48" i="3"/>
  <c r="Q48" i="3"/>
  <c r="G58" i="4" s="1"/>
  <c r="P48" i="3"/>
  <c r="D58" i="4" s="1"/>
  <c r="X47" i="3"/>
  <c r="W47" i="3"/>
  <c r="U47" i="3"/>
  <c r="T47" i="3"/>
  <c r="V47" i="3" s="1"/>
  <c r="S47" i="3"/>
  <c r="R47" i="3"/>
  <c r="Q47" i="3"/>
  <c r="P47" i="3"/>
  <c r="X46" i="3"/>
  <c r="W46" i="3"/>
  <c r="U46" i="3"/>
  <c r="AB46" i="3" s="1"/>
  <c r="T46" i="3"/>
  <c r="V46" i="3" s="1"/>
  <c r="S46" i="3"/>
  <c r="R46" i="3"/>
  <c r="Q46" i="3"/>
  <c r="H56" i="4" s="1"/>
  <c r="P46" i="3"/>
  <c r="E56" i="4" s="1"/>
  <c r="X45" i="3"/>
  <c r="W45" i="3"/>
  <c r="V45" i="3"/>
  <c r="L55" i="4" s="1"/>
  <c r="U45" i="3"/>
  <c r="T45" i="3"/>
  <c r="S45" i="3"/>
  <c r="R45" i="3"/>
  <c r="Q45" i="3"/>
  <c r="G55" i="4" s="1"/>
  <c r="P45" i="3"/>
  <c r="D55" i="4" s="1"/>
  <c r="X44" i="3"/>
  <c r="W44" i="3"/>
  <c r="U44" i="3"/>
  <c r="T44" i="3"/>
  <c r="V44" i="3" s="1"/>
  <c r="S44" i="3"/>
  <c r="R44" i="3"/>
  <c r="Q44" i="3"/>
  <c r="H54" i="4" s="1"/>
  <c r="P44" i="3"/>
  <c r="X43" i="3"/>
  <c r="W43" i="3"/>
  <c r="V43" i="3"/>
  <c r="K53" i="4" s="1"/>
  <c r="U43" i="3"/>
  <c r="T43" i="3"/>
  <c r="S43" i="3"/>
  <c r="R43" i="3"/>
  <c r="Q43" i="3"/>
  <c r="G53" i="4" s="1"/>
  <c r="P43" i="3"/>
  <c r="E53" i="4" s="1"/>
  <c r="X42" i="3"/>
  <c r="W42" i="3"/>
  <c r="V42" i="3"/>
  <c r="U42" i="3"/>
  <c r="T42" i="3"/>
  <c r="S42" i="3"/>
  <c r="R42" i="3"/>
  <c r="Q42" i="3"/>
  <c r="P42" i="3"/>
  <c r="F52" i="4" s="1"/>
  <c r="X41" i="3"/>
  <c r="W41" i="3"/>
  <c r="U41" i="3"/>
  <c r="T41" i="3"/>
  <c r="V41" i="3" s="1"/>
  <c r="S41" i="3"/>
  <c r="R41" i="3"/>
  <c r="Q41" i="3"/>
  <c r="P41" i="3"/>
  <c r="X40" i="3"/>
  <c r="W40" i="3"/>
  <c r="U40" i="3"/>
  <c r="T40" i="3"/>
  <c r="V40" i="3" s="1"/>
  <c r="S40" i="3"/>
  <c r="R40" i="3"/>
  <c r="Q40" i="3"/>
  <c r="I50" i="4" s="1"/>
  <c r="P40" i="3"/>
  <c r="X39" i="3"/>
  <c r="W39" i="3"/>
  <c r="U39" i="3"/>
  <c r="T39" i="3"/>
  <c r="V39" i="3" s="1"/>
  <c r="S39" i="3"/>
  <c r="M49" i="4" s="1"/>
  <c r="R39" i="3"/>
  <c r="Q39" i="3"/>
  <c r="P39" i="3"/>
  <c r="X38" i="3"/>
  <c r="W38" i="3"/>
  <c r="U38" i="3"/>
  <c r="T38" i="3"/>
  <c r="V38" i="3" s="1"/>
  <c r="K48" i="4" s="1"/>
  <c r="S38" i="3"/>
  <c r="N48" i="4" s="1"/>
  <c r="R38" i="3"/>
  <c r="Q38" i="3"/>
  <c r="H48" i="4" s="1"/>
  <c r="P38" i="3"/>
  <c r="X37" i="3"/>
  <c r="W37" i="3"/>
  <c r="U37" i="3"/>
  <c r="AB37" i="3" s="1"/>
  <c r="T37" i="3"/>
  <c r="V37" i="3" s="1"/>
  <c r="S37" i="3"/>
  <c r="R37" i="3"/>
  <c r="Q37" i="3"/>
  <c r="I47" i="4" s="1"/>
  <c r="P37" i="3"/>
  <c r="D47" i="4" s="1"/>
  <c r="X36" i="3"/>
  <c r="W36" i="3"/>
  <c r="U36" i="3"/>
  <c r="T36" i="3"/>
  <c r="V36" i="3" s="1"/>
  <c r="S36" i="3"/>
  <c r="R36" i="3"/>
  <c r="Q36" i="3"/>
  <c r="P36" i="3"/>
  <c r="X35" i="3"/>
  <c r="W35" i="3"/>
  <c r="U35" i="3"/>
  <c r="T35" i="3"/>
  <c r="V35" i="3" s="1"/>
  <c r="S35" i="3"/>
  <c r="N45" i="4" s="1"/>
  <c r="R35" i="3"/>
  <c r="Q35" i="3"/>
  <c r="H45" i="4" s="1"/>
  <c r="P35" i="3"/>
  <c r="E45" i="4" s="1"/>
  <c r="X34" i="3"/>
  <c r="W34" i="3"/>
  <c r="U34" i="3"/>
  <c r="T34" i="3"/>
  <c r="V34" i="3" s="1"/>
  <c r="S34" i="3"/>
  <c r="R34" i="3"/>
  <c r="Q34" i="3"/>
  <c r="H44" i="4" s="1"/>
  <c r="P34" i="3"/>
  <c r="E44" i="4" s="1"/>
  <c r="X33" i="3"/>
  <c r="W33" i="3"/>
  <c r="U33" i="3"/>
  <c r="T33" i="3"/>
  <c r="V33" i="3" s="1"/>
  <c r="K43" i="4" s="1"/>
  <c r="S33" i="3"/>
  <c r="R33" i="3"/>
  <c r="Q33" i="3"/>
  <c r="P33" i="3"/>
  <c r="X32" i="3"/>
  <c r="W32" i="3"/>
  <c r="U32" i="3"/>
  <c r="T32" i="3"/>
  <c r="V32" i="3" s="1"/>
  <c r="J42" i="4" s="1"/>
  <c r="S32" i="3"/>
  <c r="R32" i="3"/>
  <c r="Q32" i="3"/>
  <c r="G42" i="4" s="1"/>
  <c r="P32" i="3"/>
  <c r="D42" i="4" s="1"/>
  <c r="X31" i="3"/>
  <c r="W31" i="3"/>
  <c r="U31" i="3"/>
  <c r="T31" i="3"/>
  <c r="V31" i="3" s="1"/>
  <c r="S31" i="3"/>
  <c r="R31" i="3"/>
  <c r="Q31" i="3"/>
  <c r="P31" i="3"/>
  <c r="X30" i="3"/>
  <c r="W30" i="3"/>
  <c r="U30" i="3"/>
  <c r="T30" i="3"/>
  <c r="V30" i="3" s="1"/>
  <c r="S30" i="3"/>
  <c r="R30" i="3"/>
  <c r="Q30" i="3"/>
  <c r="H40" i="4" s="1"/>
  <c r="P30" i="3"/>
  <c r="E40" i="4" s="1"/>
  <c r="X29" i="3"/>
  <c r="W29" i="3"/>
  <c r="U29" i="3"/>
  <c r="T29" i="3"/>
  <c r="V29" i="3" s="1"/>
  <c r="S29" i="3"/>
  <c r="R29" i="3"/>
  <c r="Q29" i="3"/>
  <c r="G39" i="4" s="1"/>
  <c r="P29" i="3"/>
  <c r="D39" i="4" s="1"/>
  <c r="X28" i="3"/>
  <c r="W28" i="3"/>
  <c r="U28" i="3"/>
  <c r="T28" i="3"/>
  <c r="V28" i="3" s="1"/>
  <c r="S28" i="3"/>
  <c r="R28" i="3"/>
  <c r="Q28" i="3"/>
  <c r="P28" i="3"/>
  <c r="X27" i="3"/>
  <c r="W27" i="3"/>
  <c r="V27" i="3"/>
  <c r="K37" i="4" s="1"/>
  <c r="U27" i="3"/>
  <c r="T27" i="3"/>
  <c r="S27" i="3"/>
  <c r="N37" i="4" s="1"/>
  <c r="R27" i="3"/>
  <c r="Q27" i="3"/>
  <c r="G37" i="4" s="1"/>
  <c r="P27" i="3"/>
  <c r="E37" i="4" s="1"/>
  <c r="X26" i="3"/>
  <c r="W26" i="3"/>
  <c r="U26" i="3"/>
  <c r="T26" i="3"/>
  <c r="V26" i="3" s="1"/>
  <c r="S26" i="3"/>
  <c r="N36" i="4" s="1"/>
  <c r="R26" i="3"/>
  <c r="Q26" i="3"/>
  <c r="P26" i="3"/>
  <c r="X25" i="3"/>
  <c r="W25" i="3"/>
  <c r="U25" i="3"/>
  <c r="T25" i="3"/>
  <c r="V25" i="3" s="1"/>
  <c r="S25" i="3"/>
  <c r="R25" i="3"/>
  <c r="Q25" i="3"/>
  <c r="H35" i="4" s="1"/>
  <c r="P25" i="3"/>
  <c r="D35" i="4" s="1"/>
  <c r="X24" i="3"/>
  <c r="W24" i="3"/>
  <c r="U24" i="3"/>
  <c r="T24" i="3"/>
  <c r="V24" i="3" s="1"/>
  <c r="S24" i="3"/>
  <c r="R24" i="3"/>
  <c r="Q24" i="3"/>
  <c r="I34" i="4" s="1"/>
  <c r="P24" i="3"/>
  <c r="X23" i="3"/>
  <c r="W23" i="3"/>
  <c r="U23" i="3"/>
  <c r="T23" i="3"/>
  <c r="V23" i="3" s="1"/>
  <c r="S23" i="3"/>
  <c r="M33" i="4" s="1"/>
  <c r="R23" i="3"/>
  <c r="Q23" i="3"/>
  <c r="P23" i="3"/>
  <c r="X22" i="3"/>
  <c r="W22" i="3"/>
  <c r="U22" i="3"/>
  <c r="T22" i="3"/>
  <c r="V22" i="3" s="1"/>
  <c r="K32" i="4" s="1"/>
  <c r="S22" i="3"/>
  <c r="N32" i="4" s="1"/>
  <c r="R22" i="3"/>
  <c r="Q22" i="3"/>
  <c r="H32" i="4" s="1"/>
  <c r="P22" i="3"/>
  <c r="E32" i="4" s="1"/>
  <c r="X21" i="3"/>
  <c r="W21" i="3"/>
  <c r="U21" i="3"/>
  <c r="T21" i="3"/>
  <c r="V21" i="3" s="1"/>
  <c r="S21" i="3"/>
  <c r="R21" i="3"/>
  <c r="Q21" i="3"/>
  <c r="G31" i="4" s="1"/>
  <c r="P21" i="3"/>
  <c r="X20" i="3"/>
  <c r="W20" i="3"/>
  <c r="U20" i="3"/>
  <c r="T20" i="3"/>
  <c r="V20" i="3" s="1"/>
  <c r="J30" i="4" s="1"/>
  <c r="S20" i="3"/>
  <c r="M30" i="4" s="1"/>
  <c r="R20" i="3"/>
  <c r="Q20" i="3"/>
  <c r="P20" i="3"/>
  <c r="D30" i="4" s="1"/>
  <c r="X19" i="3"/>
  <c r="W19" i="3"/>
  <c r="U19" i="3"/>
  <c r="T19" i="3"/>
  <c r="V19" i="3" s="1"/>
  <c r="S19" i="3"/>
  <c r="N29" i="4" s="1"/>
  <c r="R19" i="3"/>
  <c r="Q19" i="3"/>
  <c r="P19" i="3"/>
  <c r="X18" i="3"/>
  <c r="W18" i="3"/>
  <c r="V18" i="3"/>
  <c r="U18" i="3"/>
  <c r="T18" i="3"/>
  <c r="S18" i="3"/>
  <c r="M28" i="4" s="1"/>
  <c r="R18" i="3"/>
  <c r="Q18" i="3"/>
  <c r="P18" i="3"/>
  <c r="D28" i="4" s="1"/>
  <c r="X17" i="3"/>
  <c r="W17" i="3"/>
  <c r="U17" i="3"/>
  <c r="T17" i="3"/>
  <c r="V17" i="3" s="1"/>
  <c r="S17" i="3"/>
  <c r="M27" i="4" s="1"/>
  <c r="R17" i="3"/>
  <c r="Q17" i="3"/>
  <c r="G27" i="4" s="1"/>
  <c r="P17" i="3"/>
  <c r="X16" i="3"/>
  <c r="W16" i="3"/>
  <c r="U16" i="3"/>
  <c r="T16" i="3"/>
  <c r="V16" i="3" s="1"/>
  <c r="J26" i="4" s="1"/>
  <c r="S16" i="3"/>
  <c r="R16" i="3"/>
  <c r="Q16" i="3"/>
  <c r="G26" i="4" s="1"/>
  <c r="P16" i="3"/>
  <c r="D26" i="4" s="1"/>
  <c r="X15" i="3"/>
  <c r="W15" i="3"/>
  <c r="V15" i="3"/>
  <c r="U15" i="3"/>
  <c r="T15" i="3"/>
  <c r="S15" i="3"/>
  <c r="R15" i="3"/>
  <c r="Q15" i="3"/>
  <c r="P15" i="3"/>
  <c r="X14" i="3"/>
  <c r="W14" i="3"/>
  <c r="U14" i="3"/>
  <c r="T14" i="3"/>
  <c r="V14" i="3" s="1"/>
  <c r="J24" i="4" s="1"/>
  <c r="S14" i="3"/>
  <c r="R14" i="3"/>
  <c r="Q14" i="3"/>
  <c r="P14" i="3"/>
  <c r="E24" i="4" s="1"/>
  <c r="X13" i="3"/>
  <c r="W13" i="3"/>
  <c r="V13" i="3"/>
  <c r="U13" i="3"/>
  <c r="T13" i="3"/>
  <c r="S13" i="3"/>
  <c r="R13" i="3"/>
  <c r="Q13" i="3"/>
  <c r="I23" i="4" s="1"/>
  <c r="P13" i="3"/>
  <c r="X12" i="3"/>
  <c r="W12" i="3"/>
  <c r="U12" i="3"/>
  <c r="T12" i="3"/>
  <c r="V12" i="3" s="1"/>
  <c r="S12" i="3"/>
  <c r="R12" i="3"/>
  <c r="Q12" i="3"/>
  <c r="P12" i="3"/>
  <c r="X11" i="3"/>
  <c r="W11" i="3"/>
  <c r="V11" i="3"/>
  <c r="K21" i="4" s="1"/>
  <c r="U11" i="3"/>
  <c r="T11" i="3"/>
  <c r="S11" i="3"/>
  <c r="N21" i="4" s="1"/>
  <c r="R11" i="3"/>
  <c r="Q11" i="3"/>
  <c r="P11" i="3"/>
  <c r="E21" i="4" s="1"/>
  <c r="X10" i="3"/>
  <c r="W10" i="3"/>
  <c r="V10" i="3"/>
  <c r="U10" i="3"/>
  <c r="T10" i="3"/>
  <c r="S10" i="3"/>
  <c r="R10" i="3"/>
  <c r="Q10" i="3"/>
  <c r="P10" i="3"/>
  <c r="F20" i="4" s="1"/>
  <c r="X9" i="3"/>
  <c r="W9" i="3"/>
  <c r="U9" i="3"/>
  <c r="T9" i="3"/>
  <c r="V9" i="3" s="1"/>
  <c r="S9" i="3"/>
  <c r="N19" i="4" s="1"/>
  <c r="R9" i="3"/>
  <c r="Q9" i="3"/>
  <c r="H19" i="4" s="1"/>
  <c r="P9" i="3"/>
  <c r="D19" i="4" s="1"/>
  <c r="X8" i="3"/>
  <c r="W8" i="3"/>
  <c r="U8" i="3"/>
  <c r="T8" i="3"/>
  <c r="V8" i="3" s="1"/>
  <c r="S8" i="3"/>
  <c r="M18" i="4" s="1"/>
  <c r="R8" i="3"/>
  <c r="Q8" i="3"/>
  <c r="I18" i="4" s="1"/>
  <c r="P8" i="3"/>
  <c r="X7" i="3"/>
  <c r="W7" i="3"/>
  <c r="U7" i="3"/>
  <c r="T7" i="3"/>
  <c r="V7" i="3" s="1"/>
  <c r="S7" i="3"/>
  <c r="M17" i="4" s="1"/>
  <c r="R7" i="3"/>
  <c r="Q7" i="3"/>
  <c r="P7" i="3"/>
  <c r="X6" i="3"/>
  <c r="W6" i="3"/>
  <c r="U6" i="3"/>
  <c r="T6" i="3"/>
  <c r="V6" i="3" s="1"/>
  <c r="K16" i="4" s="1"/>
  <c r="S6" i="3"/>
  <c r="N16" i="4" s="1"/>
  <c r="R6" i="3"/>
  <c r="Q6" i="3"/>
  <c r="H16" i="4" s="1"/>
  <c r="P6" i="3"/>
  <c r="X5" i="3"/>
  <c r="W5" i="3"/>
  <c r="U5" i="3"/>
  <c r="T5" i="3"/>
  <c r="V5" i="3" s="1"/>
  <c r="K15" i="4" s="1"/>
  <c r="S5" i="3"/>
  <c r="R5" i="3"/>
  <c r="Q5" i="3"/>
  <c r="P5" i="3"/>
  <c r="E15" i="4" s="1"/>
  <c r="X4" i="3"/>
  <c r="W4" i="3"/>
  <c r="U4" i="3"/>
  <c r="T4" i="3"/>
  <c r="V4" i="3" s="1"/>
  <c r="S4" i="3"/>
  <c r="R4" i="3"/>
  <c r="Q4" i="3"/>
  <c r="G14" i="4" s="1"/>
  <c r="P4" i="3"/>
  <c r="D14" i="4" s="1"/>
  <c r="X3" i="3"/>
  <c r="W3" i="3"/>
  <c r="U3" i="3"/>
  <c r="T3" i="3"/>
  <c r="V3" i="3" s="1"/>
  <c r="S3" i="3"/>
  <c r="R3" i="3"/>
  <c r="Q3" i="3"/>
  <c r="P3" i="3"/>
  <c r="X2" i="3"/>
  <c r="W2" i="3"/>
  <c r="U2" i="3"/>
  <c r="T2" i="3"/>
  <c r="V2" i="3" s="1"/>
  <c r="S2" i="3"/>
  <c r="M12" i="4" s="1"/>
  <c r="R2" i="3"/>
  <c r="Q2" i="3"/>
  <c r="G12" i="4" s="1"/>
  <c r="P2" i="3"/>
  <c r="D12" i="4" s="1"/>
  <c r="AD28" i="2"/>
  <c r="Y28" i="2"/>
  <c r="X28" i="2"/>
  <c r="V28" i="2"/>
  <c r="U28" i="2"/>
  <c r="W28" i="2" s="1"/>
  <c r="T28" i="2"/>
  <c r="S28" i="2"/>
  <c r="R28" i="2"/>
  <c r="E4" i="5" s="1"/>
  <c r="Q28" i="2"/>
  <c r="B6" i="5" s="1"/>
  <c r="AD27" i="2"/>
  <c r="Y27" i="2"/>
  <c r="X27" i="2"/>
  <c r="W27" i="2"/>
  <c r="H26" i="5" s="1"/>
  <c r="V27" i="2"/>
  <c r="U27" i="2"/>
  <c r="T27" i="2"/>
  <c r="S27" i="2"/>
  <c r="R27" i="2"/>
  <c r="E28" i="5" s="1"/>
  <c r="Q27" i="2"/>
  <c r="B21" i="5" s="1"/>
  <c r="AD26" i="2"/>
  <c r="Y26" i="2"/>
  <c r="X26" i="2"/>
  <c r="V26" i="2"/>
  <c r="U26" i="2"/>
  <c r="W26" i="2" s="1"/>
  <c r="H20" i="5" s="1"/>
  <c r="T26" i="2"/>
  <c r="S26" i="2"/>
  <c r="R26" i="2"/>
  <c r="E7" i="5" s="1"/>
  <c r="Q26" i="2"/>
  <c r="B10" i="5" s="1"/>
  <c r="AD25" i="2"/>
  <c r="Y25" i="2"/>
  <c r="X25" i="2"/>
  <c r="V25" i="2"/>
  <c r="U25" i="2"/>
  <c r="W25" i="2" s="1"/>
  <c r="H19" i="5" s="1"/>
  <c r="T25" i="2"/>
  <c r="S25" i="2"/>
  <c r="R25" i="2"/>
  <c r="E15" i="5" s="1"/>
  <c r="Q25" i="2"/>
  <c r="B16" i="5" s="1"/>
  <c r="AD24" i="2"/>
  <c r="Y24" i="2"/>
  <c r="X24" i="2"/>
  <c r="V24" i="2"/>
  <c r="U24" i="2"/>
  <c r="W24" i="2" s="1"/>
  <c r="T24" i="2"/>
  <c r="S24" i="2"/>
  <c r="R24" i="2"/>
  <c r="E8" i="5" s="1"/>
  <c r="Q24" i="2"/>
  <c r="B7" i="5" s="1"/>
  <c r="AD23" i="2"/>
  <c r="Y23" i="2"/>
  <c r="X23" i="2"/>
  <c r="V23" i="2"/>
  <c r="U23" i="2"/>
  <c r="W23" i="2" s="1"/>
  <c r="H23" i="5" s="1"/>
  <c r="T23" i="2"/>
  <c r="S23" i="2"/>
  <c r="R23" i="2"/>
  <c r="E16" i="5" s="1"/>
  <c r="Q23" i="2"/>
  <c r="B9" i="5" s="1"/>
  <c r="AD22" i="2"/>
  <c r="Y22" i="2"/>
  <c r="X22" i="2"/>
  <c r="V22" i="2"/>
  <c r="U22" i="2"/>
  <c r="W22" i="2" s="1"/>
  <c r="T22" i="2"/>
  <c r="S22" i="2"/>
  <c r="R22" i="2"/>
  <c r="E30" i="5" s="1"/>
  <c r="Q22" i="2"/>
  <c r="B30" i="5" s="1"/>
  <c r="AD21" i="2"/>
  <c r="Y21" i="2"/>
  <c r="X21" i="2"/>
  <c r="W21" i="2"/>
  <c r="H21" i="5" s="1"/>
  <c r="V21" i="2"/>
  <c r="U21" i="2"/>
  <c r="T21" i="2"/>
  <c r="S21" i="2"/>
  <c r="R21" i="2"/>
  <c r="E19" i="5" s="1"/>
  <c r="Q21" i="2"/>
  <c r="B19" i="5" s="1"/>
  <c r="AD20" i="2"/>
  <c r="Y20" i="2"/>
  <c r="X20" i="2"/>
  <c r="V20" i="2"/>
  <c r="U20" i="2"/>
  <c r="W20" i="2" s="1"/>
  <c r="T20" i="2"/>
  <c r="S20" i="2"/>
  <c r="R20" i="2"/>
  <c r="E21" i="5" s="1"/>
  <c r="Q20" i="2"/>
  <c r="B22" i="5" s="1"/>
  <c r="AD19" i="2"/>
  <c r="Y19" i="2"/>
  <c r="X19" i="2"/>
  <c r="V19" i="2"/>
  <c r="U19" i="2"/>
  <c r="W19" i="2" s="1"/>
  <c r="H16" i="5" s="1"/>
  <c r="T19" i="2"/>
  <c r="S19" i="2"/>
  <c r="R19" i="2"/>
  <c r="E17" i="5" s="1"/>
  <c r="Q19" i="2"/>
  <c r="B15" i="5" s="1"/>
  <c r="AD18" i="2"/>
  <c r="Y18" i="2"/>
  <c r="X18" i="2"/>
  <c r="V18" i="2"/>
  <c r="U18" i="2"/>
  <c r="W18" i="2" s="1"/>
  <c r="H18" i="5" s="1"/>
  <c r="T18" i="2"/>
  <c r="S18" i="2"/>
  <c r="R18" i="2"/>
  <c r="E6" i="5" s="1"/>
  <c r="Q18" i="2"/>
  <c r="B14" i="5" s="1"/>
  <c r="AD17" i="2"/>
  <c r="Y17" i="2"/>
  <c r="X17" i="2"/>
  <c r="W17" i="2"/>
  <c r="H22" i="5" s="1"/>
  <c r="V17" i="2"/>
  <c r="U17" i="2"/>
  <c r="T17" i="2"/>
  <c r="S17" i="2"/>
  <c r="R17" i="2"/>
  <c r="E26" i="5" s="1"/>
  <c r="Q17" i="2"/>
  <c r="B28" i="5" s="1"/>
  <c r="AD16" i="2"/>
  <c r="Y16" i="2"/>
  <c r="X16" i="2"/>
  <c r="V16" i="2"/>
  <c r="U16" i="2"/>
  <c r="W16" i="2" s="1"/>
  <c r="T16" i="2"/>
  <c r="S16" i="2"/>
  <c r="R16" i="2"/>
  <c r="E14" i="5" s="1"/>
  <c r="Q16" i="2"/>
  <c r="B24" i="5" s="1"/>
  <c r="AD15" i="2"/>
  <c r="Y15" i="2"/>
  <c r="X15" i="2"/>
  <c r="V15" i="2"/>
  <c r="U15" i="2"/>
  <c r="W15" i="2" s="1"/>
  <c r="H15" i="5" s="1"/>
  <c r="T15" i="2"/>
  <c r="S15" i="2"/>
  <c r="R15" i="2"/>
  <c r="E24" i="5" s="1"/>
  <c r="Q15" i="2"/>
  <c r="B23" i="5" s="1"/>
  <c r="AD14" i="2"/>
  <c r="Y14" i="2"/>
  <c r="X14" i="2"/>
  <c r="V14" i="2"/>
  <c r="U14" i="2"/>
  <c r="W14" i="2" s="1"/>
  <c r="T14" i="2"/>
  <c r="S14" i="2"/>
  <c r="R14" i="2"/>
  <c r="E23" i="5" s="1"/>
  <c r="Q14" i="2"/>
  <c r="B29" i="5" s="1"/>
  <c r="AD13" i="2"/>
  <c r="Y13" i="2"/>
  <c r="X13" i="2"/>
  <c r="V13" i="2"/>
  <c r="U13" i="2"/>
  <c r="W13" i="2" s="1"/>
  <c r="H10" i="5" s="1"/>
  <c r="T13" i="2"/>
  <c r="S13" i="2"/>
  <c r="R13" i="2"/>
  <c r="E29" i="5" s="1"/>
  <c r="Q13" i="2"/>
  <c r="B20" i="5" s="1"/>
  <c r="AD12" i="2"/>
  <c r="Y12" i="2"/>
  <c r="X12" i="2"/>
  <c r="V12" i="2"/>
  <c r="U12" i="2"/>
  <c r="W12" i="2" s="1"/>
  <c r="T12" i="2"/>
  <c r="S12" i="2"/>
  <c r="R12" i="2"/>
  <c r="E27" i="5" s="1"/>
  <c r="Q12" i="2"/>
  <c r="B13" i="5" s="1"/>
  <c r="AD11" i="2"/>
  <c r="Y11" i="2"/>
  <c r="X11" i="2"/>
  <c r="V11" i="2"/>
  <c r="U11" i="2"/>
  <c r="W11" i="2" s="1"/>
  <c r="H29" i="5" s="1"/>
  <c r="T11" i="2"/>
  <c r="S11" i="2"/>
  <c r="R11" i="2"/>
  <c r="E13" i="5" s="1"/>
  <c r="Q11" i="2"/>
  <c r="B27" i="5" s="1"/>
  <c r="AD10" i="2"/>
  <c r="Y10" i="2"/>
  <c r="X10" i="2"/>
  <c r="V10" i="2"/>
  <c r="U10" i="2"/>
  <c r="W10" i="2" s="1"/>
  <c r="H14" i="5" s="1"/>
  <c r="T10" i="2"/>
  <c r="S10" i="2"/>
  <c r="R10" i="2"/>
  <c r="E25" i="5" s="1"/>
  <c r="Q10" i="2"/>
  <c r="B25" i="5" s="1"/>
  <c r="AD9" i="2"/>
  <c r="Y9" i="2"/>
  <c r="X9" i="2"/>
  <c r="V9" i="2"/>
  <c r="U9" i="2"/>
  <c r="W9" i="2" s="1"/>
  <c r="H27" i="5" s="1"/>
  <c r="T9" i="2"/>
  <c r="S9" i="2"/>
  <c r="R9" i="2"/>
  <c r="E11" i="5" s="1"/>
  <c r="Q9" i="2"/>
  <c r="B11" i="5" s="1"/>
  <c r="AD8" i="2"/>
  <c r="Y8" i="2"/>
  <c r="X8" i="2"/>
  <c r="V8" i="2"/>
  <c r="AC8" i="2" s="1"/>
  <c r="U8" i="2"/>
  <c r="W8" i="2" s="1"/>
  <c r="T8" i="2"/>
  <c r="S8" i="2"/>
  <c r="R8" i="2"/>
  <c r="E22" i="5" s="1"/>
  <c r="Q8" i="2"/>
  <c r="B8" i="5" s="1"/>
  <c r="AD7" i="2"/>
  <c r="Z7" i="2"/>
  <c r="Y7" i="2"/>
  <c r="X7" i="2"/>
  <c r="V7" i="2"/>
  <c r="U7" i="2"/>
  <c r="W7" i="2" s="1"/>
  <c r="H13" i="5" s="1"/>
  <c r="T7" i="2"/>
  <c r="S7" i="2"/>
  <c r="R7" i="2"/>
  <c r="E12" i="5" s="1"/>
  <c r="Q7" i="2"/>
  <c r="B26" i="5" s="1"/>
  <c r="AD6" i="2"/>
  <c r="Y6" i="2"/>
  <c r="X6" i="2"/>
  <c r="V6" i="2"/>
  <c r="U6" i="2"/>
  <c r="W6" i="2" s="1"/>
  <c r="T6" i="2"/>
  <c r="S6" i="2"/>
  <c r="R6" i="2"/>
  <c r="E9" i="5" s="1"/>
  <c r="Q6" i="2"/>
  <c r="B18" i="5" s="1"/>
  <c r="AD5" i="2"/>
  <c r="Y5" i="2"/>
  <c r="X5" i="2"/>
  <c r="V5" i="2"/>
  <c r="U5" i="2"/>
  <c r="W5" i="2" s="1"/>
  <c r="H24" i="5" s="1"/>
  <c r="T5" i="2"/>
  <c r="S5" i="2"/>
  <c r="R5" i="2"/>
  <c r="E20" i="5" s="1"/>
  <c r="Q5" i="2"/>
  <c r="B12" i="5" s="1"/>
  <c r="AD4" i="2"/>
  <c r="Y4" i="2"/>
  <c r="X4" i="2"/>
  <c r="V4" i="2"/>
  <c r="U4" i="2"/>
  <c r="W4" i="2" s="1"/>
  <c r="T4" i="2"/>
  <c r="S4" i="2"/>
  <c r="R4" i="2"/>
  <c r="E5" i="5" s="1"/>
  <c r="Q4" i="2"/>
  <c r="B4" i="5" s="1"/>
  <c r="AD3" i="2"/>
  <c r="Y3" i="2"/>
  <c r="X3" i="2"/>
  <c r="W3" i="2"/>
  <c r="H28" i="5" s="1"/>
  <c r="V3" i="2"/>
  <c r="U3" i="2"/>
  <c r="T3" i="2"/>
  <c r="S3" i="2"/>
  <c r="R3" i="2"/>
  <c r="E18" i="5" s="1"/>
  <c r="Q3" i="2"/>
  <c r="B17" i="5" s="1"/>
  <c r="AD2" i="2"/>
  <c r="Y2" i="2"/>
  <c r="X2" i="2"/>
  <c r="V2" i="2"/>
  <c r="U2" i="2"/>
  <c r="W2" i="2" s="1"/>
  <c r="H9" i="5" s="1"/>
  <c r="T2" i="2"/>
  <c r="S2" i="2"/>
  <c r="R2" i="2"/>
  <c r="E10" i="5" s="1"/>
  <c r="Q2" i="2"/>
  <c r="B5" i="5" s="1"/>
  <c r="AC9" i="2" l="1"/>
  <c r="Z10" i="3"/>
  <c r="AB9" i="2"/>
  <c r="Y8" i="3"/>
  <c r="Z9" i="3"/>
  <c r="H29" i="4"/>
  <c r="Y40" i="3"/>
  <c r="AA47" i="3"/>
  <c r="M59" i="4"/>
  <c r="AA64" i="3"/>
  <c r="G78" i="4"/>
  <c r="E88" i="4"/>
  <c r="Y91" i="3"/>
  <c r="I70" i="4"/>
  <c r="I88" i="4"/>
  <c r="D97" i="4"/>
  <c r="AB11" i="2"/>
  <c r="Y31" i="3"/>
  <c r="J78" i="4"/>
  <c r="AA78" i="3"/>
  <c r="N43" i="4"/>
  <c r="K70" i="4"/>
  <c r="M74" i="4"/>
  <c r="D98" i="4"/>
  <c r="J103" i="4"/>
  <c r="Z4" i="2"/>
  <c r="AB26" i="2"/>
  <c r="O20" i="4"/>
  <c r="Z31" i="3"/>
  <c r="D43" i="4"/>
  <c r="E34" i="4"/>
  <c r="E68" i="4"/>
  <c r="G84" i="4"/>
  <c r="E98" i="4"/>
  <c r="Z91" i="3"/>
  <c r="AB3" i="2"/>
  <c r="Z14" i="3"/>
  <c r="Y63" i="3"/>
  <c r="I94" i="4"/>
  <c r="Y86" i="3"/>
  <c r="O44" i="4"/>
  <c r="F68" i="4"/>
  <c r="D95" i="4"/>
  <c r="AB62" i="3"/>
  <c r="AA20" i="3"/>
  <c r="AA31" i="3"/>
  <c r="AA44" i="3"/>
  <c r="Z63" i="3"/>
  <c r="J56" i="4"/>
  <c r="H68" i="4"/>
  <c r="F99" i="4"/>
  <c r="AB32" i="3"/>
  <c r="H70" i="4"/>
  <c r="AB18" i="2"/>
  <c r="AB23" i="2"/>
  <c r="AB28" i="2"/>
  <c r="E13" i="4"/>
  <c r="AA14" i="3"/>
  <c r="M43" i="4"/>
  <c r="AA38" i="3"/>
  <c r="AA46" i="3"/>
  <c r="E64" i="4"/>
  <c r="Y67" i="3"/>
  <c r="AA84" i="3"/>
  <c r="L27" i="4"/>
  <c r="M56" i="4"/>
  <c r="I68" i="4"/>
  <c r="I71" i="4"/>
  <c r="E99" i="4"/>
  <c r="H13" i="4"/>
  <c r="AA16" i="3"/>
  <c r="Z20" i="3"/>
  <c r="Y24" i="3"/>
  <c r="D51" i="4"/>
  <c r="AA48" i="3"/>
  <c r="H64" i="4"/>
  <c r="Y56" i="3"/>
  <c r="AA63" i="3"/>
  <c r="Z67" i="3"/>
  <c r="Z88" i="3"/>
  <c r="F44" i="4"/>
  <c r="M66" i="4"/>
  <c r="K68" i="4"/>
  <c r="L71" i="4"/>
  <c r="Z12" i="2"/>
  <c r="Z26" i="3"/>
  <c r="D68" i="4"/>
  <c r="Z90" i="3"/>
  <c r="Z92" i="3"/>
  <c r="D15" i="4"/>
  <c r="D27" i="4"/>
  <c r="G44" i="4"/>
  <c r="L68" i="4"/>
  <c r="N71" i="4"/>
  <c r="AB10" i="2"/>
  <c r="AB20" i="2"/>
  <c r="AB25" i="2"/>
  <c r="N13" i="4"/>
  <c r="AA79" i="3"/>
  <c r="N64" i="4"/>
  <c r="Z58" i="3"/>
  <c r="AA67" i="3"/>
  <c r="F15" i="4"/>
  <c r="E27" i="4"/>
  <c r="I44" i="4"/>
  <c r="G66" i="4"/>
  <c r="H96" i="4"/>
  <c r="Y13" i="3"/>
  <c r="H38" i="4"/>
  <c r="M51" i="4"/>
  <c r="Y83" i="3"/>
  <c r="G15" i="4"/>
  <c r="H27" i="4"/>
  <c r="M44" i="4"/>
  <c r="D49" i="4"/>
  <c r="M62" i="4"/>
  <c r="I96" i="4"/>
  <c r="AB47" i="3"/>
  <c r="AB15" i="2"/>
  <c r="Z23" i="2"/>
  <c r="Z28" i="2"/>
  <c r="Y15" i="3"/>
  <c r="M68" i="4"/>
  <c r="E18" i="4"/>
  <c r="K27" i="4"/>
  <c r="N44" i="4"/>
  <c r="K96" i="4"/>
  <c r="AB12" i="2"/>
  <c r="AB17" i="2"/>
  <c r="Z15" i="3"/>
  <c r="O38" i="4"/>
  <c r="Y47" i="3"/>
  <c r="H12" i="4"/>
  <c r="I15" i="4"/>
  <c r="F49" i="4"/>
  <c r="O67" i="4"/>
  <c r="L96" i="4"/>
  <c r="AB13" i="3"/>
  <c r="Z42" i="3"/>
  <c r="AA30" i="3"/>
  <c r="D46" i="4"/>
  <c r="N55" i="4"/>
  <c r="Z47" i="3"/>
  <c r="H59" i="4"/>
  <c r="E97" i="4"/>
  <c r="J15" i="4"/>
  <c r="H37" i="4"/>
  <c r="M58" i="4"/>
  <c r="E77" i="4"/>
  <c r="N96" i="4"/>
  <c r="AC19" i="2"/>
  <c r="J46" i="4"/>
  <c r="M78" i="4"/>
  <c r="AB13" i="2"/>
  <c r="Z15" i="2"/>
  <c r="Z20" i="2"/>
  <c r="AA15" i="3"/>
  <c r="E29" i="4"/>
  <c r="AA32" i="3"/>
  <c r="G46" i="4"/>
  <c r="AA62" i="3"/>
  <c r="D78" i="4"/>
  <c r="I102" i="4"/>
  <c r="H12" i="5"/>
  <c r="AC4" i="2"/>
  <c r="AB30" i="3"/>
  <c r="AB83" i="3"/>
  <c r="AB19" i="3"/>
  <c r="AB87" i="3"/>
  <c r="AB66" i="3"/>
  <c r="H17" i="5"/>
  <c r="AC6" i="2"/>
  <c r="AB4" i="3"/>
  <c r="AB6" i="3"/>
  <c r="L18" i="4"/>
  <c r="K18" i="4"/>
  <c r="AB8" i="3"/>
  <c r="AB21" i="3"/>
  <c r="J33" i="4"/>
  <c r="AB23" i="3"/>
  <c r="L35" i="4"/>
  <c r="J35" i="4"/>
  <c r="L50" i="4"/>
  <c r="K50" i="4"/>
  <c r="AB40" i="3"/>
  <c r="AB53" i="3"/>
  <c r="J65" i="4"/>
  <c r="AB55" i="3"/>
  <c r="AB68" i="3"/>
  <c r="AB70" i="3"/>
  <c r="L82" i="4"/>
  <c r="K82" i="4"/>
  <c r="AB72" i="3"/>
  <c r="L84" i="4"/>
  <c r="K84" i="4"/>
  <c r="J84" i="4"/>
  <c r="AB76" i="3"/>
  <c r="J88" i="4"/>
  <c r="AB78" i="3"/>
  <c r="AB89" i="3"/>
  <c r="AB64" i="3"/>
  <c r="L31" i="4"/>
  <c r="J31" i="4"/>
  <c r="K31" i="4"/>
  <c r="AC11" i="2"/>
  <c r="H6" i="5"/>
  <c r="AC16" i="2"/>
  <c r="AB25" i="3"/>
  <c r="AB57" i="3"/>
  <c r="AB74" i="3"/>
  <c r="H5" i="5"/>
  <c r="AC14" i="2"/>
  <c r="AC26" i="2"/>
  <c r="AB42" i="3"/>
  <c r="K14" i="4"/>
  <c r="J14" i="4"/>
  <c r="AC21" i="2"/>
  <c r="AB44" i="3"/>
  <c r="K54" i="4"/>
  <c r="AB59" i="3"/>
  <c r="L74" i="4"/>
  <c r="J74" i="4"/>
  <c r="H7" i="5"/>
  <c r="AC24" i="2"/>
  <c r="AB29" i="3"/>
  <c r="AB82" i="3"/>
  <c r="K94" i="4"/>
  <c r="J94" i="4"/>
  <c r="AB84" i="3"/>
  <c r="AB85" i="3"/>
  <c r="AB10" i="3"/>
  <c r="AC13" i="2"/>
  <c r="AC18" i="2"/>
  <c r="AB14" i="3"/>
  <c r="J58" i="4"/>
  <c r="L58" i="4"/>
  <c r="AB63" i="3"/>
  <c r="AB31" i="3"/>
  <c r="AC3" i="2"/>
  <c r="AC23" i="2"/>
  <c r="AB16" i="3"/>
  <c r="AB35" i="3"/>
  <c r="L47" i="4"/>
  <c r="K47" i="4"/>
  <c r="J47" i="4"/>
  <c r="AB48" i="3"/>
  <c r="AB86" i="3"/>
  <c r="AB17" i="3"/>
  <c r="AB18" i="3"/>
  <c r="AB50" i="3"/>
  <c r="AB67" i="3"/>
  <c r="L79" i="4"/>
  <c r="K79" i="4"/>
  <c r="J79" i="4"/>
  <c r="AB51" i="3"/>
  <c r="AC10" i="2"/>
  <c r="AC15" i="2"/>
  <c r="AC25" i="2"/>
  <c r="AB5" i="3"/>
  <c r="J17" i="4"/>
  <c r="AB7" i="3"/>
  <c r="J19" i="4"/>
  <c r="L19" i="4"/>
  <c r="AB20" i="3"/>
  <c r="AB22" i="3"/>
  <c r="L34" i="4"/>
  <c r="K34" i="4"/>
  <c r="AB24" i="3"/>
  <c r="J49" i="4"/>
  <c r="AB39" i="3"/>
  <c r="AB52" i="3"/>
  <c r="AB54" i="3"/>
  <c r="L66" i="4"/>
  <c r="K66" i="4"/>
  <c r="AB56" i="3"/>
  <c r="AB69" i="3"/>
  <c r="J81" i="4"/>
  <c r="AB71" i="3"/>
  <c r="AB88" i="3"/>
  <c r="AB36" i="3"/>
  <c r="H11" i="5"/>
  <c r="AC28" i="2"/>
  <c r="AC5" i="2"/>
  <c r="AB26" i="3"/>
  <c r="AB41" i="3"/>
  <c r="AB73" i="3"/>
  <c r="AB90" i="3"/>
  <c r="AB92" i="3"/>
  <c r="AB34" i="3"/>
  <c r="AB38" i="3"/>
  <c r="AB12" i="3"/>
  <c r="H4" i="5"/>
  <c r="AC20" i="2"/>
  <c r="AB15" i="3"/>
  <c r="AB3" i="3"/>
  <c r="AB9" i="3"/>
  <c r="AC2" i="2"/>
  <c r="AC7" i="2"/>
  <c r="H25" i="5"/>
  <c r="AC12" i="2"/>
  <c r="K38" i="4"/>
  <c r="AB28" i="3"/>
  <c r="AB58" i="3"/>
  <c r="L63" i="4"/>
  <c r="K63" i="4"/>
  <c r="J63" i="4"/>
  <c r="AB27" i="3"/>
  <c r="AC17" i="2"/>
  <c r="H8" i="5"/>
  <c r="AC22" i="2"/>
  <c r="AC27" i="2"/>
  <c r="AB11" i="3"/>
  <c r="AB43" i="3"/>
  <c r="AB60" i="3"/>
  <c r="AB81" i="3"/>
  <c r="AB24" i="2"/>
  <c r="AA4" i="3"/>
  <c r="AA36" i="3"/>
  <c r="AA7" i="2"/>
  <c r="AA15" i="2"/>
  <c r="AA23" i="2"/>
  <c r="Z5" i="2"/>
  <c r="AB6" i="2"/>
  <c r="Z13" i="2"/>
  <c r="AB14" i="2"/>
  <c r="Z21" i="2"/>
  <c r="AB22" i="2"/>
  <c r="Y2" i="3"/>
  <c r="AA8" i="3"/>
  <c r="Z13" i="3"/>
  <c r="Y18" i="3"/>
  <c r="AA24" i="3"/>
  <c r="Z29" i="3"/>
  <c r="Y34" i="3"/>
  <c r="AA40" i="3"/>
  <c r="Z45" i="3"/>
  <c r="Y50" i="3"/>
  <c r="AA56" i="3"/>
  <c r="Z61" i="3"/>
  <c r="Y66" i="3"/>
  <c r="AA72" i="3"/>
  <c r="Y80" i="3"/>
  <c r="F92" i="4"/>
  <c r="E92" i="4"/>
  <c r="D92" i="4"/>
  <c r="AA85" i="3"/>
  <c r="Z87" i="3"/>
  <c r="H97" i="4"/>
  <c r="Y89" i="3"/>
  <c r="Y93" i="3"/>
  <c r="F12" i="4"/>
  <c r="H14" i="4"/>
  <c r="O19" i="4"/>
  <c r="I22" i="4"/>
  <c r="G22" i="4"/>
  <c r="F22" i="4"/>
  <c r="D22" i="4"/>
  <c r="M22" i="4"/>
  <c r="L22" i="4"/>
  <c r="J22" i="4"/>
  <c r="M29" i="4"/>
  <c r="L29" i="4"/>
  <c r="J29" i="4"/>
  <c r="D29" i="4"/>
  <c r="H39" i="4"/>
  <c r="O48" i="4"/>
  <c r="M48" i="4"/>
  <c r="L48" i="4"/>
  <c r="I48" i="4"/>
  <c r="G48" i="4"/>
  <c r="F48" i="4"/>
  <c r="D48" i="4"/>
  <c r="O51" i="4"/>
  <c r="K61" i="4"/>
  <c r="Y30" i="3"/>
  <c r="Z41" i="3"/>
  <c r="AA5" i="2"/>
  <c r="AA13" i="2"/>
  <c r="AA21" i="2"/>
  <c r="Z2" i="3"/>
  <c r="Y7" i="3"/>
  <c r="AA13" i="3"/>
  <c r="Z18" i="3"/>
  <c r="O31" i="4"/>
  <c r="N31" i="4"/>
  <c r="M31" i="4"/>
  <c r="Y23" i="3"/>
  <c r="AA29" i="3"/>
  <c r="Z34" i="3"/>
  <c r="O47" i="4"/>
  <c r="M47" i="4"/>
  <c r="Y39" i="3"/>
  <c r="AA45" i="3"/>
  <c r="Z50" i="3"/>
  <c r="O63" i="4"/>
  <c r="M63" i="4"/>
  <c r="Y55" i="3"/>
  <c r="AA61" i="3"/>
  <c r="Z66" i="3"/>
  <c r="O79" i="4"/>
  <c r="M79" i="4"/>
  <c r="Y71" i="3"/>
  <c r="Z80" i="3"/>
  <c r="L98" i="4"/>
  <c r="K98" i="4"/>
  <c r="Z89" i="3"/>
  <c r="Z93" i="3"/>
  <c r="O16" i="4"/>
  <c r="G16" i="4"/>
  <c r="F16" i="4"/>
  <c r="D16" i="4"/>
  <c r="J18" i="4"/>
  <c r="E22" i="4"/>
  <c r="N22" i="4"/>
  <c r="M24" i="4"/>
  <c r="K29" i="4"/>
  <c r="J34" i="4"/>
  <c r="I36" i="4"/>
  <c r="I39" i="4"/>
  <c r="E51" i="4"/>
  <c r="F83" i="4"/>
  <c r="K88" i="4"/>
  <c r="AA2" i="3"/>
  <c r="Y12" i="3"/>
  <c r="Z39" i="3"/>
  <c r="AB45" i="3"/>
  <c r="AB80" i="3"/>
  <c r="K93" i="4"/>
  <c r="J93" i="4"/>
  <c r="AA93" i="3"/>
  <c r="L39" i="4"/>
  <c r="M45" i="4"/>
  <c r="L45" i="4"/>
  <c r="J45" i="4"/>
  <c r="I45" i="4"/>
  <c r="F45" i="4"/>
  <c r="D45" i="4"/>
  <c r="J71" i="4"/>
  <c r="AA12" i="2"/>
  <c r="AA20" i="2"/>
  <c r="AA28" i="2"/>
  <c r="AB2" i="3"/>
  <c r="AA7" i="3"/>
  <c r="Z12" i="3"/>
  <c r="Y17" i="3"/>
  <c r="AA23" i="3"/>
  <c r="Z28" i="3"/>
  <c r="Y33" i="3"/>
  <c r="Z44" i="3"/>
  <c r="Y49" i="3"/>
  <c r="AA55" i="3"/>
  <c r="Z60" i="3"/>
  <c r="Y65" i="3"/>
  <c r="AA71" i="3"/>
  <c r="H83" i="4"/>
  <c r="G83" i="4"/>
  <c r="Z75" i="3"/>
  <c r="Y79" i="3"/>
  <c r="E91" i="4"/>
  <c r="D91" i="4"/>
  <c r="N92" i="4"/>
  <c r="M92" i="4"/>
  <c r="AA82" i="3"/>
  <c r="Z84" i="3"/>
  <c r="O101" i="4"/>
  <c r="N101" i="4"/>
  <c r="B5" i="4"/>
  <c r="D18" i="4"/>
  <c r="H20" i="4"/>
  <c r="K22" i="4"/>
  <c r="L25" i="4"/>
  <c r="J25" i="4"/>
  <c r="I25" i="4"/>
  <c r="G25" i="4"/>
  <c r="F25" i="4"/>
  <c r="D25" i="4"/>
  <c r="O25" i="4"/>
  <c r="M25" i="4"/>
  <c r="G29" i="4"/>
  <c r="D34" i="4"/>
  <c r="K45" i="4"/>
  <c r="J48" i="4"/>
  <c r="J55" i="4"/>
  <c r="K58" i="4"/>
  <c r="E66" i="4"/>
  <c r="K74" i="4"/>
  <c r="O78" i="4"/>
  <c r="N78" i="4"/>
  <c r="L78" i="4"/>
  <c r="K78" i="4"/>
  <c r="I78" i="4"/>
  <c r="H78" i="4"/>
  <c r="F78" i="4"/>
  <c r="E78" i="4"/>
  <c r="L89" i="4"/>
  <c r="Z55" i="3"/>
  <c r="AA66" i="3"/>
  <c r="E83" i="4"/>
  <c r="D83" i="4"/>
  <c r="Y75" i="3"/>
  <c r="I87" i="4"/>
  <c r="G87" i="4"/>
  <c r="Y84" i="3"/>
  <c r="N97" i="4"/>
  <c r="M97" i="4"/>
  <c r="M94" i="4"/>
  <c r="AA4" i="2"/>
  <c r="AA39" i="3"/>
  <c r="Z3" i="2"/>
  <c r="AB4" i="2"/>
  <c r="Z11" i="2"/>
  <c r="Z19" i="2"/>
  <c r="Z27" i="2"/>
  <c r="Y6" i="3"/>
  <c r="AA12" i="3"/>
  <c r="Z17" i="3"/>
  <c r="Y22" i="3"/>
  <c r="AA28" i="3"/>
  <c r="Z33" i="3"/>
  <c r="Y38" i="3"/>
  <c r="Z49" i="3"/>
  <c r="Y54" i="3"/>
  <c r="AA60" i="3"/>
  <c r="Z65" i="3"/>
  <c r="Y70" i="3"/>
  <c r="AA75" i="3"/>
  <c r="Z79" i="3"/>
  <c r="Y88" i="3"/>
  <c r="E100" i="4"/>
  <c r="Y90" i="3"/>
  <c r="C5" i="4"/>
  <c r="I16" i="4"/>
  <c r="G18" i="4"/>
  <c r="O22" i="4"/>
  <c r="H25" i="4"/>
  <c r="I29" i="4"/>
  <c r="O32" i="4"/>
  <c r="M32" i="4"/>
  <c r="G32" i="4"/>
  <c r="F32" i="4"/>
  <c r="D32" i="4"/>
  <c r="G34" i="4"/>
  <c r="F37" i="4"/>
  <c r="I40" i="4"/>
  <c r="G40" i="4"/>
  <c r="F40" i="4"/>
  <c r="D40" i="4"/>
  <c r="O40" i="4"/>
  <c r="L40" i="4"/>
  <c r="L43" i="4"/>
  <c r="G45" i="4"/>
  <c r="G52" i="4"/>
  <c r="H55" i="4"/>
  <c r="O62" i="4"/>
  <c r="N62" i="4"/>
  <c r="L62" i="4"/>
  <c r="K62" i="4"/>
  <c r="I62" i="4"/>
  <c r="H62" i="4"/>
  <c r="F62" i="4"/>
  <c r="E62" i="4"/>
  <c r="D66" i="4"/>
  <c r="O74" i="4"/>
  <c r="H89" i="4"/>
  <c r="E103" i="4"/>
  <c r="AB91" i="3"/>
  <c r="AA92" i="3"/>
  <c r="D5" i="4"/>
  <c r="M13" i="4"/>
  <c r="L13" i="4"/>
  <c r="D13" i="4"/>
  <c r="N15" i="4"/>
  <c r="I20" i="4"/>
  <c r="E25" i="4"/>
  <c r="O29" i="4"/>
  <c r="K40" i="4"/>
  <c r="O45" i="4"/>
  <c r="H52" i="4"/>
  <c r="O58" i="4"/>
  <c r="Z43" i="3"/>
  <c r="Y48" i="3"/>
  <c r="AB49" i="3"/>
  <c r="AA54" i="3"/>
  <c r="Z59" i="3"/>
  <c r="Y64" i="3"/>
  <c r="AB65" i="3"/>
  <c r="AA70" i="3"/>
  <c r="I82" i="4"/>
  <c r="G82" i="4"/>
  <c r="L83" i="4"/>
  <c r="J83" i="4"/>
  <c r="AB77" i="3"/>
  <c r="Y78" i="3"/>
  <c r="AB79" i="3"/>
  <c r="Z83" i="3"/>
  <c r="AA88" i="3"/>
  <c r="F5" i="4"/>
  <c r="K13" i="4"/>
  <c r="L16" i="4"/>
  <c r="M20" i="4"/>
  <c r="J23" i="4"/>
  <c r="K25" i="4"/>
  <c r="J40" i="4"/>
  <c r="E43" i="4"/>
  <c r="N49" i="4"/>
  <c r="L49" i="4"/>
  <c r="H49" i="4"/>
  <c r="E49" i="4"/>
  <c r="L75" i="4"/>
  <c r="N79" i="4"/>
  <c r="M90" i="4"/>
  <c r="N95" i="4"/>
  <c r="Z7" i="3"/>
  <c r="O36" i="4"/>
  <c r="M36" i="4"/>
  <c r="Y44" i="3"/>
  <c r="AA50" i="3"/>
  <c r="Z71" i="3"/>
  <c r="AA89" i="3"/>
  <c r="AA19" i="2"/>
  <c r="AA27" i="2"/>
  <c r="Y27" i="3"/>
  <c r="Y76" i="3"/>
  <c r="Z11" i="3"/>
  <c r="Y32" i="3"/>
  <c r="AA18" i="2"/>
  <c r="Y5" i="3"/>
  <c r="AA11" i="3"/>
  <c r="Z16" i="3"/>
  <c r="Y21" i="3"/>
  <c r="AA27" i="3"/>
  <c r="Z32" i="3"/>
  <c r="Y37" i="3"/>
  <c r="AA43" i="3"/>
  <c r="Z48" i="3"/>
  <c r="F60" i="4"/>
  <c r="E60" i="4"/>
  <c r="D60" i="4"/>
  <c r="Y53" i="3"/>
  <c r="AA59" i="3"/>
  <c r="Z64" i="3"/>
  <c r="F76" i="4"/>
  <c r="E76" i="4"/>
  <c r="D76" i="4"/>
  <c r="Y69" i="3"/>
  <c r="Z74" i="3"/>
  <c r="Z78" i="3"/>
  <c r="AA83" i="3"/>
  <c r="I95" i="4"/>
  <c r="H95" i="4"/>
  <c r="G95" i="4"/>
  <c r="Z85" i="3"/>
  <c r="F13" i="4"/>
  <c r="M16" i="4"/>
  <c r="N18" i="4"/>
  <c r="N20" i="4"/>
  <c r="H23" i="4"/>
  <c r="E23" i="4"/>
  <c r="N23" i="4"/>
  <c r="K23" i="4"/>
  <c r="N25" i="4"/>
  <c r="I32" i="4"/>
  <c r="J37" i="4"/>
  <c r="M40" i="4"/>
  <c r="M46" i="4"/>
  <c r="I52" i="4"/>
  <c r="L59" i="4"/>
  <c r="N63" i="4"/>
  <c r="N75" i="4"/>
  <c r="F85" i="4"/>
  <c r="K90" i="4"/>
  <c r="AB21" i="2"/>
  <c r="AB61" i="3"/>
  <c r="Z6" i="3"/>
  <c r="Y11" i="3"/>
  <c r="O35" i="4"/>
  <c r="N35" i="4"/>
  <c r="AA33" i="3"/>
  <c r="Y43" i="3"/>
  <c r="Z54" i="3"/>
  <c r="Z70" i="3"/>
  <c r="O83" i="4"/>
  <c r="M83" i="4"/>
  <c r="Z18" i="2"/>
  <c r="AB27" i="2"/>
  <c r="Z27" i="3"/>
  <c r="AB33" i="3"/>
  <c r="Z17" i="2"/>
  <c r="Z25" i="2"/>
  <c r="Z5" i="3"/>
  <c r="Y10" i="3"/>
  <c r="I28" i="4"/>
  <c r="G28" i="4"/>
  <c r="Z21" i="3"/>
  <c r="O34" i="4"/>
  <c r="N34" i="4"/>
  <c r="M34" i="4"/>
  <c r="Y26" i="3"/>
  <c r="Z37" i="3"/>
  <c r="O50" i="4"/>
  <c r="N50" i="4"/>
  <c r="L51" i="4"/>
  <c r="J51" i="4"/>
  <c r="Y42" i="3"/>
  <c r="I60" i="4"/>
  <c r="G60" i="4"/>
  <c r="Z53" i="3"/>
  <c r="O66" i="4"/>
  <c r="N66" i="4"/>
  <c r="Y58" i="3"/>
  <c r="I76" i="4"/>
  <c r="G76" i="4"/>
  <c r="Z69" i="3"/>
  <c r="O82" i="4"/>
  <c r="N82" i="4"/>
  <c r="AA74" i="3"/>
  <c r="Y87" i="3"/>
  <c r="G13" i="4"/>
  <c r="O18" i="4"/>
  <c r="D23" i="4"/>
  <c r="O30" i="4"/>
  <c r="N30" i="4"/>
  <c r="L30" i="4"/>
  <c r="K30" i="4"/>
  <c r="I30" i="4"/>
  <c r="F30" i="4"/>
  <c r="E30" i="4"/>
  <c r="J32" i="4"/>
  <c r="F35" i="4"/>
  <c r="O37" i="4"/>
  <c r="O46" i="4"/>
  <c r="N46" i="4"/>
  <c r="L46" i="4"/>
  <c r="K46" i="4"/>
  <c r="I46" i="4"/>
  <c r="F46" i="4"/>
  <c r="E46" i="4"/>
  <c r="K49" i="4"/>
  <c r="N59" i="4"/>
  <c r="F69" i="4"/>
  <c r="I72" i="4"/>
  <c r="O80" i="4"/>
  <c r="H85" i="4"/>
  <c r="AB8" i="2"/>
  <c r="AB5" i="2"/>
  <c r="Y28" i="3"/>
  <c r="AA34" i="3"/>
  <c r="O52" i="4"/>
  <c r="N52" i="4"/>
  <c r="M52" i="4"/>
  <c r="Y60" i="3"/>
  <c r="AA3" i="2"/>
  <c r="Z22" i="3"/>
  <c r="AA49" i="3"/>
  <c r="AA65" i="3"/>
  <c r="Z26" i="2"/>
  <c r="AA6" i="3"/>
  <c r="Y16" i="3"/>
  <c r="AA22" i="3"/>
  <c r="AA2" i="2"/>
  <c r="AA10" i="2"/>
  <c r="AA26" i="2"/>
  <c r="AB2" i="2"/>
  <c r="AA17" i="2"/>
  <c r="AA25" i="2"/>
  <c r="AA5" i="3"/>
  <c r="AA21" i="3"/>
  <c r="AA37" i="3"/>
  <c r="AA53" i="3"/>
  <c r="AA69" i="3"/>
  <c r="Y82" i="3"/>
  <c r="F94" i="4"/>
  <c r="E94" i="4"/>
  <c r="O95" i="4"/>
  <c r="M95" i="4"/>
  <c r="AA87" i="3"/>
  <c r="I13" i="4"/>
  <c r="D17" i="4"/>
  <c r="F21" i="4"/>
  <c r="D21" i="4"/>
  <c r="M21" i="4"/>
  <c r="L21" i="4"/>
  <c r="I21" i="4"/>
  <c r="M26" i="4"/>
  <c r="O28" i="4"/>
  <c r="G30" i="4"/>
  <c r="L32" i="4"/>
  <c r="K35" i="4"/>
  <c r="L41" i="4"/>
  <c r="H46" i="4"/>
  <c r="F53" i="4"/>
  <c r="K56" i="4"/>
  <c r="H69" i="4"/>
  <c r="K72" i="4"/>
  <c r="O76" i="4"/>
  <c r="L91" i="4"/>
  <c r="G100" i="4"/>
  <c r="Z23" i="3"/>
  <c r="AA11" i="2"/>
  <c r="L20" i="4"/>
  <c r="K20" i="4"/>
  <c r="J20" i="4"/>
  <c r="AA17" i="3"/>
  <c r="L36" i="4"/>
  <c r="K36" i="4"/>
  <c r="J36" i="4"/>
  <c r="L52" i="4"/>
  <c r="K52" i="4"/>
  <c r="J52" i="4"/>
  <c r="Y59" i="3"/>
  <c r="AB19" i="2"/>
  <c r="Z9" i="2"/>
  <c r="AA9" i="2"/>
  <c r="Z16" i="2"/>
  <c r="Z24" i="2"/>
  <c r="Y4" i="3"/>
  <c r="AA10" i="3"/>
  <c r="Y20" i="3"/>
  <c r="AA26" i="3"/>
  <c r="Y36" i="3"/>
  <c r="AA42" i="3"/>
  <c r="E59" i="4"/>
  <c r="D59" i="4"/>
  <c r="Y52" i="3"/>
  <c r="AA58" i="3"/>
  <c r="E75" i="4"/>
  <c r="D75" i="4"/>
  <c r="N76" i="4"/>
  <c r="M76" i="4"/>
  <c r="Y68" i="3"/>
  <c r="Y73" i="3"/>
  <c r="Y77" i="3"/>
  <c r="AA80" i="3"/>
  <c r="Z82" i="3"/>
  <c r="AA91" i="3"/>
  <c r="J13" i="4"/>
  <c r="L17" i="4"/>
  <c r="I17" i="4"/>
  <c r="H17" i="4"/>
  <c r="E17" i="4"/>
  <c r="F19" i="4"/>
  <c r="H21" i="4"/>
  <c r="L23" i="4"/>
  <c r="K26" i="4"/>
  <c r="H26" i="4"/>
  <c r="E26" i="4"/>
  <c r="N26" i="4"/>
  <c r="L28" i="4"/>
  <c r="H30" i="4"/>
  <c r="E35" i="4"/>
  <c r="I38" i="4"/>
  <c r="H41" i="4"/>
  <c r="E41" i="4"/>
  <c r="M50" i="4"/>
  <c r="H53" i="4"/>
  <c r="O64" i="4"/>
  <c r="M64" i="4"/>
  <c r="L64" i="4"/>
  <c r="J64" i="4"/>
  <c r="I64" i="4"/>
  <c r="G64" i="4"/>
  <c r="F64" i="4"/>
  <c r="D64" i="4"/>
  <c r="L76" i="4"/>
  <c r="I86" i="4"/>
  <c r="N91" i="4"/>
  <c r="H100" i="4"/>
  <c r="AB16" i="2"/>
  <c r="AA18" i="3"/>
  <c r="Z38" i="3"/>
  <c r="L97" i="4"/>
  <c r="K97" i="4"/>
  <c r="J97" i="4"/>
  <c r="Z2" i="2"/>
  <c r="Z10" i="2"/>
  <c r="Z8" i="2"/>
  <c r="AA8" i="2"/>
  <c r="AA16" i="2"/>
  <c r="AA24" i="2"/>
  <c r="Z4" i="3"/>
  <c r="Y9" i="3"/>
  <c r="Y25" i="3"/>
  <c r="H43" i="4"/>
  <c r="G43" i="4"/>
  <c r="Z36" i="3"/>
  <c r="Y41" i="3"/>
  <c r="Z52" i="3"/>
  <c r="Y57" i="3"/>
  <c r="Z68" i="3"/>
  <c r="Z73" i="3"/>
  <c r="Z77" i="3"/>
  <c r="O99" i="4"/>
  <c r="N99" i="4"/>
  <c r="M99" i="4"/>
  <c r="Y92" i="3"/>
  <c r="O13" i="4"/>
  <c r="F17" i="4"/>
  <c r="K19" i="4"/>
  <c r="G21" i="4"/>
  <c r="E28" i="4"/>
  <c r="D33" i="4"/>
  <c r="E38" i="4"/>
  <c r="K41" i="4"/>
  <c r="E50" i="4"/>
  <c r="O60" i="4"/>
  <c r="J69" i="4"/>
  <c r="M72" i="4"/>
  <c r="D81" i="4"/>
  <c r="E86" i="4"/>
  <c r="Y14" i="3"/>
  <c r="Z25" i="3"/>
  <c r="O54" i="4"/>
  <c r="M54" i="4"/>
  <c r="Y46" i="3"/>
  <c r="AA52" i="3"/>
  <c r="Z57" i="3"/>
  <c r="Y62" i="3"/>
  <c r="AA68" i="3"/>
  <c r="AA73" i="3"/>
  <c r="AA77" i="3"/>
  <c r="Y81" i="3"/>
  <c r="F93" i="4"/>
  <c r="E93" i="4"/>
  <c r="D93" i="4"/>
  <c r="O94" i="4"/>
  <c r="N94" i="4"/>
  <c r="L95" i="4"/>
  <c r="K95" i="4"/>
  <c r="J95" i="4"/>
  <c r="Z86" i="3"/>
  <c r="L99" i="4"/>
  <c r="K99" i="4"/>
  <c r="J99" i="4"/>
  <c r="AB93" i="3"/>
  <c r="E19" i="4"/>
  <c r="J21" i="4"/>
  <c r="I24" i="4"/>
  <c r="G24" i="4"/>
  <c r="F24" i="4"/>
  <c r="O24" i="4"/>
  <c r="L24" i="4"/>
  <c r="F26" i="4"/>
  <c r="F28" i="4"/>
  <c r="N33" i="4"/>
  <c r="L33" i="4"/>
  <c r="H33" i="4"/>
  <c r="E33" i="4"/>
  <c r="M35" i="4"/>
  <c r="N41" i="4"/>
  <c r="N47" i="4"/>
  <c r="D50" i="4"/>
  <c r="J53" i="4"/>
  <c r="L60" i="4"/>
  <c r="O77" i="4"/>
  <c r="M77" i="4"/>
  <c r="L77" i="4"/>
  <c r="J77" i="4"/>
  <c r="I77" i="4"/>
  <c r="G77" i="4"/>
  <c r="F77" i="4"/>
  <c r="D77" i="4"/>
  <c r="N81" i="4"/>
  <c r="O92" i="4"/>
  <c r="G101" i="4"/>
  <c r="E5" i="4"/>
  <c r="Y3" i="3"/>
  <c r="AA9" i="3"/>
  <c r="Y19" i="3"/>
  <c r="AA25" i="3"/>
  <c r="Z30" i="3"/>
  <c r="Y35" i="3"/>
  <c r="AA41" i="3"/>
  <c r="Z46" i="3"/>
  <c r="Y51" i="3"/>
  <c r="AA57" i="3"/>
  <c r="Z62" i="3"/>
  <c r="O85" i="4"/>
  <c r="N85" i="4"/>
  <c r="L90" i="4"/>
  <c r="J90" i="4"/>
  <c r="Z81" i="3"/>
  <c r="I93" i="4"/>
  <c r="H93" i="4"/>
  <c r="G93" i="4"/>
  <c r="AA86" i="3"/>
  <c r="O12" i="4"/>
  <c r="M14" i="4"/>
  <c r="K17" i="4"/>
  <c r="K24" i="4"/>
  <c r="L26" i="4"/>
  <c r="H28" i="4"/>
  <c r="F33" i="4"/>
  <c r="G50" i="4"/>
  <c r="N60" i="4"/>
  <c r="G68" i="4"/>
  <c r="J87" i="4"/>
  <c r="L92" i="4"/>
  <c r="H101" i="4"/>
  <c r="Z6" i="2"/>
  <c r="AB7" i="2"/>
  <c r="Z14" i="2"/>
  <c r="Z3" i="3"/>
  <c r="Z19" i="3"/>
  <c r="F31" i="4"/>
  <c r="E31" i="4"/>
  <c r="Z35" i="3"/>
  <c r="F47" i="4"/>
  <c r="E47" i="4"/>
  <c r="Z51" i="3"/>
  <c r="F63" i="4"/>
  <c r="E63" i="4"/>
  <c r="F79" i="4"/>
  <c r="E79" i="4"/>
  <c r="D79" i="4"/>
  <c r="Y72" i="3"/>
  <c r="F84" i="4"/>
  <c r="E84" i="4"/>
  <c r="D84" i="4"/>
  <c r="Y74" i="3"/>
  <c r="Z76" i="3"/>
  <c r="AA81" i="3"/>
  <c r="AA90" i="3"/>
  <c r="L12" i="4"/>
  <c r="O14" i="4"/>
  <c r="N14" i="4"/>
  <c r="L14" i="4"/>
  <c r="I14" i="4"/>
  <c r="F14" i="4"/>
  <c r="E14" i="4"/>
  <c r="O21" i="4"/>
  <c r="D24" i="4"/>
  <c r="O26" i="4"/>
  <c r="N28" i="4"/>
  <c r="G36" i="4"/>
  <c r="M42" i="4"/>
  <c r="I54" i="4"/>
  <c r="D65" i="4"/>
  <c r="M82" i="4"/>
  <c r="H87" i="4"/>
  <c r="Z22" i="2"/>
  <c r="AA6" i="2"/>
  <c r="AA14" i="2"/>
  <c r="AA22" i="2"/>
  <c r="AA3" i="3"/>
  <c r="Z8" i="3"/>
  <c r="E20" i="4"/>
  <c r="D20" i="4"/>
  <c r="AA19" i="3"/>
  <c r="Z24" i="3"/>
  <c r="E36" i="4"/>
  <c r="D36" i="4"/>
  <c r="Y29" i="3"/>
  <c r="AA35" i="3"/>
  <c r="H47" i="4"/>
  <c r="G47" i="4"/>
  <c r="Z40" i="3"/>
  <c r="E52" i="4"/>
  <c r="D52" i="4"/>
  <c r="O53" i="4"/>
  <c r="N53" i="4"/>
  <c r="Y45" i="3"/>
  <c r="AA51" i="3"/>
  <c r="I63" i="4"/>
  <c r="H63" i="4"/>
  <c r="G63" i="4"/>
  <c r="Z56" i="3"/>
  <c r="O69" i="4"/>
  <c r="N69" i="4"/>
  <c r="Y61" i="3"/>
  <c r="I79" i="4"/>
  <c r="H79" i="4"/>
  <c r="G79" i="4"/>
  <c r="Z72" i="3"/>
  <c r="I84" i="4"/>
  <c r="H84" i="4"/>
  <c r="AB75" i="3"/>
  <c r="AA76" i="3"/>
  <c r="O93" i="4"/>
  <c r="N93" i="4"/>
  <c r="M93" i="4"/>
  <c r="Y85" i="3"/>
  <c r="E12" i="4"/>
  <c r="N17" i="4"/>
  <c r="M19" i="4"/>
  <c r="D31" i="4"/>
  <c r="K33" i="4"/>
  <c r="H36" i="4"/>
  <c r="J39" i="4"/>
  <c r="F51" i="4"/>
  <c r="F54" i="4"/>
  <c r="M61" i="4"/>
  <c r="L61" i="4"/>
  <c r="J61" i="4"/>
  <c r="I61" i="4"/>
  <c r="G61" i="4"/>
  <c r="F61" i="4"/>
  <c r="D61" i="4"/>
  <c r="N65" i="4"/>
  <c r="L65" i="4"/>
  <c r="K65" i="4"/>
  <c r="H65" i="4"/>
  <c r="E65" i="4"/>
  <c r="E82" i="4"/>
  <c r="L93" i="4"/>
  <c r="F18" i="4"/>
  <c r="G19" i="4"/>
  <c r="O27" i="4"/>
  <c r="F34" i="4"/>
  <c r="G35" i="4"/>
  <c r="I37" i="4"/>
  <c r="J38" i="4"/>
  <c r="K39" i="4"/>
  <c r="M41" i="4"/>
  <c r="N42" i="4"/>
  <c r="O43" i="4"/>
  <c r="F50" i="4"/>
  <c r="G51" i="4"/>
  <c r="I53" i="4"/>
  <c r="J54" i="4"/>
  <c r="K55" i="4"/>
  <c r="L56" i="4"/>
  <c r="M57" i="4"/>
  <c r="N58" i="4"/>
  <c r="O59" i="4"/>
  <c r="F66" i="4"/>
  <c r="I69" i="4"/>
  <c r="J70" i="4"/>
  <c r="K71" i="4"/>
  <c r="L72" i="4"/>
  <c r="M73" i="4"/>
  <c r="N74" i="4"/>
  <c r="O75" i="4"/>
  <c r="D80" i="4"/>
  <c r="E81" i="4"/>
  <c r="F82" i="4"/>
  <c r="I85" i="4"/>
  <c r="J86" i="4"/>
  <c r="K87" i="4"/>
  <c r="L88" i="4"/>
  <c r="M89" i="4"/>
  <c r="N90" i="4"/>
  <c r="O91" i="4"/>
  <c r="D96" i="4"/>
  <c r="F98" i="4"/>
  <c r="G99" i="4"/>
  <c r="I101" i="4"/>
  <c r="J102" i="4"/>
  <c r="K103" i="4"/>
  <c r="J85" i="4"/>
  <c r="K86" i="4"/>
  <c r="L87" i="4"/>
  <c r="M88" i="4"/>
  <c r="N89" i="4"/>
  <c r="O90" i="4"/>
  <c r="F97" i="4"/>
  <c r="G98" i="4"/>
  <c r="H99" i="4"/>
  <c r="I100" i="4"/>
  <c r="J101" i="4"/>
  <c r="K102" i="4"/>
  <c r="L103" i="4"/>
  <c r="G17" i="4"/>
  <c r="H18" i="4"/>
  <c r="I19" i="4"/>
  <c r="M23" i="4"/>
  <c r="N24" i="4"/>
  <c r="G33" i="4"/>
  <c r="H34" i="4"/>
  <c r="I35" i="4"/>
  <c r="L38" i="4"/>
  <c r="M39" i="4"/>
  <c r="N40" i="4"/>
  <c r="O41" i="4"/>
  <c r="G49" i="4"/>
  <c r="H50" i="4"/>
  <c r="I51" i="4"/>
  <c r="L54" i="4"/>
  <c r="M55" i="4"/>
  <c r="N56" i="4"/>
  <c r="O57" i="4"/>
  <c r="G65" i="4"/>
  <c r="H66" i="4"/>
  <c r="I67" i="4"/>
  <c r="L70" i="4"/>
  <c r="M71" i="4"/>
  <c r="N72" i="4"/>
  <c r="O73" i="4"/>
  <c r="F80" i="4"/>
  <c r="G81" i="4"/>
  <c r="H82" i="4"/>
  <c r="I83" i="4"/>
  <c r="L86" i="4"/>
  <c r="M87" i="4"/>
  <c r="N88" i="4"/>
  <c r="O89" i="4"/>
  <c r="D94" i="4"/>
  <c r="E95" i="4"/>
  <c r="F96" i="4"/>
  <c r="G97" i="4"/>
  <c r="H98" i="4"/>
  <c r="I99" i="4"/>
  <c r="J100" i="4"/>
  <c r="K101" i="4"/>
  <c r="L102" i="4"/>
  <c r="M103" i="4"/>
  <c r="L37" i="4"/>
  <c r="M38" i="4"/>
  <c r="N39" i="4"/>
  <c r="L53" i="4"/>
  <c r="O56" i="4"/>
  <c r="L69" i="4"/>
  <c r="O72" i="4"/>
  <c r="G80" i="4"/>
  <c r="H81" i="4"/>
  <c r="L85" i="4"/>
  <c r="O88" i="4"/>
  <c r="G96" i="4"/>
  <c r="I98" i="4"/>
  <c r="L101" i="4"/>
  <c r="M102" i="4"/>
  <c r="O23" i="4"/>
  <c r="I33" i="4"/>
  <c r="M37" i="4"/>
  <c r="N38" i="4"/>
  <c r="O39" i="4"/>
  <c r="I49" i="4"/>
  <c r="J50" i="4"/>
  <c r="K51" i="4"/>
  <c r="M53" i="4"/>
  <c r="N54" i="4"/>
  <c r="O55" i="4"/>
  <c r="I65" i="4"/>
  <c r="J66" i="4"/>
  <c r="K67" i="4"/>
  <c r="M69" i="4"/>
  <c r="N70" i="4"/>
  <c r="O71" i="4"/>
  <c r="I81" i="4"/>
  <c r="J82" i="4"/>
  <c r="K83" i="4"/>
  <c r="M85" i="4"/>
  <c r="N86" i="4"/>
  <c r="O87" i="4"/>
  <c r="I97" i="4"/>
  <c r="J98" i="4"/>
  <c r="L100" i="4"/>
  <c r="M101" i="4"/>
  <c r="N102" i="4"/>
  <c r="O103" i="4"/>
  <c r="O70" i="4"/>
  <c r="I80" i="4"/>
  <c r="M84" i="4"/>
  <c r="O86" i="4"/>
  <c r="G94" i="4"/>
  <c r="M100" i="4"/>
  <c r="J80" i="4"/>
  <c r="K81" i="4"/>
  <c r="N84" i="4"/>
  <c r="H94" i="4"/>
  <c r="N100" i="4"/>
  <c r="F27" i="4"/>
  <c r="D41" i="4"/>
  <c r="E42" i="4"/>
  <c r="F43" i="4"/>
  <c r="N51" i="4"/>
  <c r="D57" i="4"/>
  <c r="E58" i="4"/>
  <c r="F59" i="4"/>
  <c r="N67" i="4"/>
  <c r="D73" i="4"/>
  <c r="E74" i="4"/>
  <c r="F75" i="4"/>
  <c r="L81" i="4"/>
  <c r="D89" i="4"/>
  <c r="E90" i="4"/>
  <c r="F91" i="4"/>
  <c r="G92" i="4"/>
  <c r="M98" i="4"/>
  <c r="F42" i="4"/>
  <c r="D56" i="4"/>
  <c r="E57" i="4"/>
  <c r="F58" i="4"/>
  <c r="G59" i="4"/>
  <c r="H60" i="4"/>
  <c r="D72" i="4"/>
  <c r="E73" i="4"/>
  <c r="F74" i="4"/>
  <c r="G75" i="4"/>
  <c r="H76" i="4"/>
  <c r="L80" i="4"/>
  <c r="D88" i="4"/>
  <c r="E89" i="4"/>
  <c r="F90" i="4"/>
  <c r="G91" i="4"/>
  <c r="H92" i="4"/>
  <c r="N98" i="4"/>
  <c r="F41" i="4"/>
  <c r="F57" i="4"/>
  <c r="F73" i="4"/>
  <c r="M80" i="4"/>
  <c r="F89" i="4"/>
  <c r="D103" i="4"/>
  <c r="J12" i="4"/>
  <c r="O17" i="4"/>
  <c r="I27" i="4"/>
  <c r="J28" i="4"/>
  <c r="O33" i="4"/>
  <c r="D38" i="4"/>
  <c r="E39" i="4"/>
  <c r="G41" i="4"/>
  <c r="H42" i="4"/>
  <c r="I43" i="4"/>
  <c r="J44" i="4"/>
  <c r="O49" i="4"/>
  <c r="D54" i="4"/>
  <c r="E55" i="4"/>
  <c r="F56" i="4"/>
  <c r="G57" i="4"/>
  <c r="H58" i="4"/>
  <c r="I59" i="4"/>
  <c r="J60" i="4"/>
  <c r="O65" i="4"/>
  <c r="D70" i="4"/>
  <c r="E71" i="4"/>
  <c r="F72" i="4"/>
  <c r="G73" i="4"/>
  <c r="H74" i="4"/>
  <c r="I75" i="4"/>
  <c r="J76" i="4"/>
  <c r="O81" i="4"/>
  <c r="D86" i="4"/>
  <c r="E87" i="4"/>
  <c r="F88" i="4"/>
  <c r="G89" i="4"/>
  <c r="H90" i="4"/>
  <c r="I91" i="4"/>
  <c r="J92" i="4"/>
  <c r="L94" i="4"/>
  <c r="O97" i="4"/>
  <c r="D102" i="4"/>
  <c r="K12" i="4"/>
  <c r="F23" i="4"/>
  <c r="I26" i="4"/>
  <c r="J27" i="4"/>
  <c r="K28" i="4"/>
  <c r="D37" i="4"/>
  <c r="F39" i="4"/>
  <c r="I42" i="4"/>
  <c r="J43" i="4"/>
  <c r="K44" i="4"/>
  <c r="D53" i="4"/>
  <c r="E54" i="4"/>
  <c r="F55" i="4"/>
  <c r="G56" i="4"/>
  <c r="I58" i="4"/>
  <c r="J59" i="4"/>
  <c r="K60" i="4"/>
  <c r="D69" i="4"/>
  <c r="F71" i="4"/>
  <c r="G72" i="4"/>
  <c r="I74" i="4"/>
  <c r="J75" i="4"/>
  <c r="K76" i="4"/>
  <c r="D85" i="4"/>
  <c r="F87" i="4"/>
  <c r="G88" i="4"/>
  <c r="I90" i="4"/>
  <c r="J91" i="4"/>
  <c r="K92" i="4"/>
  <c r="D101" i="4"/>
  <c r="E102" i="4"/>
  <c r="F103" i="4"/>
  <c r="G23" i="4"/>
  <c r="H24" i="4"/>
  <c r="F38" i="4"/>
  <c r="I41" i="4"/>
  <c r="I57" i="4"/>
  <c r="F70" i="4"/>
  <c r="I73" i="4"/>
  <c r="F86" i="4"/>
  <c r="I89" i="4"/>
  <c r="D100" i="4"/>
  <c r="E101" i="4"/>
  <c r="F102" i="4"/>
  <c r="G103" i="4"/>
  <c r="G38" i="4"/>
  <c r="J41" i="4"/>
  <c r="G54" i="4"/>
  <c r="J57" i="4"/>
  <c r="G70" i="4"/>
  <c r="J73" i="4"/>
  <c r="G86" i="4"/>
  <c r="J89" i="4"/>
  <c r="F101" i="4"/>
  <c r="G102" i="4"/>
  <c r="F100" i="4"/>
  <c r="I103" i="4"/>
  <c r="D7" i="4" l="1"/>
  <c r="D8" i="4"/>
  <c r="C6" i="4"/>
  <c r="F6" i="4"/>
  <c r="D6" i="4"/>
  <c r="F7" i="4"/>
  <c r="B7" i="4"/>
  <c r="C7" i="4"/>
  <c r="F8" i="4"/>
  <c r="C8" i="4"/>
  <c r="B8" i="4"/>
  <c r="E6" i="4"/>
  <c r="B6" i="4"/>
  <c r="E8" i="4"/>
  <c r="E7" i="4"/>
</calcChain>
</file>

<file path=xl/sharedStrings.xml><?xml version="1.0" encoding="utf-8"?>
<sst xmlns="http://schemas.openxmlformats.org/spreadsheetml/2006/main" count="888" uniqueCount="457">
  <si>
    <t>Saúde fiscal do Rio de Janeiro: contas dos estados e dos municípios fluminenses, 2024</t>
  </si>
  <si>
    <t>O que é esta planilha</t>
  </si>
  <si>
    <t>Os dados públicos do Siconfi (Tesouro Nacional) usados no projeto, organizados para qualquer pessoa conferir: os valores de entrada, os indicadores calculados por fórmula, as posições do RJ entre os estados, gráficos e a legenda de cada coluna.</t>
  </si>
  <si>
    <t>Pergunta do projeto: como o Rio de Janeiro e os seus municípios estão gerindo o dinheiro da saúde, e onde as contas públicas estão apertadas?</t>
  </si>
  <si>
    <t>Como ler</t>
  </si>
  <si>
    <t>• Texto AZUL = dado que veio da API do Siconfi (entrada). Texto PRETO = fórmula: clique na célula para ver o cálculo.</t>
  </si>
  <si>
    <t>• Linha azul clara = Rio de Janeiro (o estado, na aba Estados; a capital, na aba Municípios RJ). Linha amarela = dado atípico, mantido e marcado.</t>
  </si>
  <si>
    <t>• Os indicadores são fórmulas sobre as colunas de entrada, então qualquer número pode ser refeito à mão.</t>
  </si>
  <si>
    <t>Abas</t>
  </si>
  <si>
    <t>• Estados: os 27 estados (com o DF), com entradas, indicadores e posições.</t>
  </si>
  <si>
    <t>• Municípios RJ: os 92 municípios do RJ, com os mesmos campos e a marca dos 12 que entregam relatório simplificado.</t>
  </si>
  <si>
    <t>• Com e sem: medianas dos municípios com e sem os casos especiais.</t>
  </si>
  <si>
    <t>• Gráficos e Dados dos gráficos: barras dos estados, com o RJ em azul.</t>
  </si>
  <si>
    <t>• Legenda: siglas, descrição e origem de cada coluna, e limites da análise.</t>
  </si>
  <si>
    <t>De onde vêm os dados</t>
  </si>
  <si>
    <t>• Fonte: API de dados abertos do Tesouro Nacional (Siconfi), https://apidatalake.tesouro.gov.br/ords/siconfi/tt/ . Documentação: https://apidatalake.tesouro.gov.br/docs/siconfi/</t>
  </si>
  <si>
    <t>• Exercício: 2024. Coleta feita em 21/10/2026.</t>
  </si>
  <si>
    <t>• Relatórios usados: RREO (Anexos 01, 02 e 07, 6º bimestre) e RGF (Anexo 01, por Poder, e Anexo 02, no último período entregue por cada ente).</t>
  </si>
  <si>
    <t>• Os números são o que cada ente declarou ao Tesouro. Não foram auditados.</t>
  </si>
  <si>
    <t>Como foi feito (reprodutível)</t>
  </si>
  <si>
    <t>• Coleta: scripts/04_coleta_valores.py. Conferência: scripts/05_conferencia_coleta.py. EDA: notebooks/01_eda_siconfi_2024.ipynb. Esta planilha: scripts/09_gerar_planilha.py.</t>
  </si>
  <si>
    <t>• Registro de fontes e de pendências: docs/02-fontes-de-dados.md e docs/04-pendencias-measure.md.</t>
  </si>
  <si>
    <t>Cuidados ao interpretar</t>
  </si>
  <si>
    <t>• O Siconfi mostra quanto se gasta, e não a qualidade do atendimento. Esta planilha não diz qual lugar tem melhor ou pior saúde.</t>
  </si>
  <si>
    <t>• Compare estados com estados e municípios com municípios. Os dois grupos têm papéis e receitas diferentes na saúde.</t>
  </si>
  <si>
    <t>• Saúde por habitante acompanha de perto a receita por habitante (correlação de 0,80 nos estados e 0,82 nos municípios). Para a prioridade dada à saúde, prefira 'Saúde, % da despesa'.</t>
  </si>
  <si>
    <t>• O indicador 'Saúde, % da despesa' NÃO é o mínimo legal de saúde, que usa outra base (receita de impostos e transferências).</t>
  </si>
  <si>
    <t>• Os limites de pessoal e de dívida são os que os entes declararam, ainda não conferidos com a lei.</t>
  </si>
  <si>
    <t>• Dívida e restos a pagar são mostrados de forma descritiva. Nenhuma hipótese foi testada nesta planilha.</t>
  </si>
  <si>
    <t>Ente</t>
  </si>
  <si>
    <t>Código IBGE</t>
  </si>
  <si>
    <t>População</t>
  </si>
  <si>
    <t>Receita realizada (R$)</t>
  </si>
  <si>
    <t>Despesa empenhada, Anexo 01 (R$)</t>
  </si>
  <si>
    <t>Despesa total, Anexo 02 (R$)</t>
  </si>
  <si>
    <t>Despesa em Saúde (R$)</t>
  </si>
  <si>
    <t>RCL ajustada (R$)</t>
  </si>
  <si>
    <t>Pessoal Executivo (R$)</t>
  </si>
  <si>
    <t>Pessoal Legislativo (R$)</t>
  </si>
  <si>
    <t>Pessoal Judiciário (R$)</t>
  </si>
  <si>
    <t>Pessoal Ministério Público (R$)</t>
  </si>
  <si>
    <t>Pessoal Defensoria (R$)</t>
  </si>
  <si>
    <t>Dívida líquida, % da RCL (declarado)</t>
  </si>
  <si>
    <t>Limite de dívida do Senado, % da RCL (declarado)</t>
  </si>
  <si>
    <t>Restos a pagar, saldo (R$)</t>
  </si>
  <si>
    <t>Saúde por habitante (R$)</t>
  </si>
  <si>
    <t>Saúde, % da despesa</t>
  </si>
  <si>
    <t>Receita por habitante (R$)</t>
  </si>
  <si>
    <t>Despesa, % da receita</t>
  </si>
  <si>
    <t>Pessoal total (R$)</t>
  </si>
  <si>
    <t>Poderes com dado</t>
  </si>
  <si>
    <t>Pessoal total, % da RCL</t>
  </si>
  <si>
    <t>Pessoal do Executivo, % da RCL</t>
  </si>
  <si>
    <t>Restos a pagar, % da receita</t>
  </si>
  <si>
    <t>Posição: saúde por habitante</t>
  </si>
  <si>
    <t>Posição: saúde % da despesa</t>
  </si>
  <si>
    <t>Posição: despesa % da receita</t>
  </si>
  <si>
    <t>Posição: pessoal total % da RCL</t>
  </si>
  <si>
    <t>Posição: dívida % da RCL</t>
  </si>
  <si>
    <t>Observações</t>
  </si>
  <si>
    <t>Acre</t>
  </si>
  <si>
    <t>12</t>
  </si>
  <si>
    <t>Alagoas</t>
  </si>
  <si>
    <t>27</t>
  </si>
  <si>
    <t>Amapá</t>
  </si>
  <si>
    <t>16</t>
  </si>
  <si>
    <t>Amazonas</t>
  </si>
  <si>
    <t>13</t>
  </si>
  <si>
    <t>Bahia</t>
  </si>
  <si>
    <t>29</t>
  </si>
  <si>
    <t>Ceará</t>
  </si>
  <si>
    <t>23</t>
  </si>
  <si>
    <t>Distrito Federal</t>
  </si>
  <si>
    <t>53</t>
  </si>
  <si>
    <t>Poderes incompletos no RGF: a soma de pessoal fica subestimada</t>
  </si>
  <si>
    <t>Espírito Santo</t>
  </si>
  <si>
    <t>32</t>
  </si>
  <si>
    <t>Goiás</t>
  </si>
  <si>
    <t>52</t>
  </si>
  <si>
    <t>Maranhão</t>
  </si>
  <si>
    <t>21</t>
  </si>
  <si>
    <t>Mato Grosso</t>
  </si>
  <si>
    <t>51</t>
  </si>
  <si>
    <t>Mato Grosso do Sul</t>
  </si>
  <si>
    <t>50</t>
  </si>
  <si>
    <t>Minas Gerais</t>
  </si>
  <si>
    <t>31</t>
  </si>
  <si>
    <t>Paraná</t>
  </si>
  <si>
    <t>41</t>
  </si>
  <si>
    <t>Paraíba</t>
  </si>
  <si>
    <t>25</t>
  </si>
  <si>
    <t>Pará</t>
  </si>
  <si>
    <t>15</t>
  </si>
  <si>
    <t>Pernambuco</t>
  </si>
  <si>
    <t>26</t>
  </si>
  <si>
    <t>Piauí</t>
  </si>
  <si>
    <t>22</t>
  </si>
  <si>
    <t>Rio Grande do Norte</t>
  </si>
  <si>
    <t>24</t>
  </si>
  <si>
    <t>Rio Grande do Sul</t>
  </si>
  <si>
    <t>43</t>
  </si>
  <si>
    <t>Rio de Janeiro (estado)</t>
  </si>
  <si>
    <t>33</t>
  </si>
  <si>
    <t>Rondônia</t>
  </si>
  <si>
    <t>11</t>
  </si>
  <si>
    <t>Roraima</t>
  </si>
  <si>
    <t>14</t>
  </si>
  <si>
    <t>Limite de dívida declarado fora do padrão (a checar)</t>
  </si>
  <si>
    <t>Santa Catarina</t>
  </si>
  <si>
    <t>42</t>
  </si>
  <si>
    <t>Sergipe</t>
  </si>
  <si>
    <t>28</t>
  </si>
  <si>
    <t>São Paulo</t>
  </si>
  <si>
    <t>35</t>
  </si>
  <si>
    <t>Tocantins</t>
  </si>
  <si>
    <t>17</t>
  </si>
  <si>
    <t>Relatório simplificado?</t>
  </si>
  <si>
    <t>Caso especial</t>
  </si>
  <si>
    <t>Angra dos Reis</t>
  </si>
  <si>
    <t>3300100</t>
  </si>
  <si>
    <t>não</t>
  </si>
  <si>
    <t>Aperibé</t>
  </si>
  <si>
    <t>3300159</t>
  </si>
  <si>
    <t>Araruama</t>
  </si>
  <si>
    <t>3300209</t>
  </si>
  <si>
    <t>Areal</t>
  </si>
  <si>
    <t>3300225</t>
  </si>
  <si>
    <t>RCL atípica</t>
  </si>
  <si>
    <t>Rcl atípica</t>
  </si>
  <si>
    <t>Armação dos Búzios</t>
  </si>
  <si>
    <t>3300233</t>
  </si>
  <si>
    <t>totais de despesa inconsistentes</t>
  </si>
  <si>
    <t>Totais de despesa inconsistentes</t>
  </si>
  <si>
    <t>Arraial do Cabo</t>
  </si>
  <si>
    <t>3300258</t>
  </si>
  <si>
    <t>Barra Mansa</t>
  </si>
  <si>
    <t>3300407</t>
  </si>
  <si>
    <t>Barra do Piraí</t>
  </si>
  <si>
    <t>3300308</t>
  </si>
  <si>
    <t>Belford Roxo</t>
  </si>
  <si>
    <t>3300456</t>
  </si>
  <si>
    <t>Limite de dívida declarado já como percentual</t>
  </si>
  <si>
    <t>Bom Jardim</t>
  </si>
  <si>
    <t>3300506</t>
  </si>
  <si>
    <t>Bom Jesus do Itabapoana</t>
  </si>
  <si>
    <t>3300605</t>
  </si>
  <si>
    <t>Cabo Frio</t>
  </si>
  <si>
    <t>3300704</t>
  </si>
  <si>
    <t>Cachoeiras de Macacu</t>
  </si>
  <si>
    <t>3300803</t>
  </si>
  <si>
    <t>Cambuci</t>
  </si>
  <si>
    <t>3300902</t>
  </si>
  <si>
    <t>Campos dos Goytacazes</t>
  </si>
  <si>
    <t>3301009</t>
  </si>
  <si>
    <t>Cantagalo</t>
  </si>
  <si>
    <t>3301108</t>
  </si>
  <si>
    <t>sim</t>
  </si>
  <si>
    <t>Relatório simplificado</t>
  </si>
  <si>
    <t>Carapebus</t>
  </si>
  <si>
    <t>3300936</t>
  </si>
  <si>
    <t>Cardoso Moreira</t>
  </si>
  <si>
    <t>3301157</t>
  </si>
  <si>
    <t>Carmo</t>
  </si>
  <si>
    <t>3301207</t>
  </si>
  <si>
    <t>Casimiro de Abreu</t>
  </si>
  <si>
    <t>3301306</t>
  </si>
  <si>
    <t>Comendador Levy Gasparian</t>
  </si>
  <si>
    <t>3300951</t>
  </si>
  <si>
    <t>Conceição de Macabu</t>
  </si>
  <si>
    <t>3301405</t>
  </si>
  <si>
    <t>Cordeiro</t>
  </si>
  <si>
    <t>3301504</t>
  </si>
  <si>
    <t>Duas Barras</t>
  </si>
  <si>
    <t>3301603</t>
  </si>
  <si>
    <t>Duque de Caxias</t>
  </si>
  <si>
    <t>3301702</t>
  </si>
  <si>
    <t>Engenheiro Paulo de Frontin</t>
  </si>
  <si>
    <t>3301801</t>
  </si>
  <si>
    <t>Guapimirim</t>
  </si>
  <si>
    <t>3301850</t>
  </si>
  <si>
    <t>Iguaba Grande</t>
  </si>
  <si>
    <t>3301876</t>
  </si>
  <si>
    <t>Itaboraí</t>
  </si>
  <si>
    <t>3301900</t>
  </si>
  <si>
    <t>Itaguaí</t>
  </si>
  <si>
    <t>3302007</t>
  </si>
  <si>
    <t>Italva</t>
  </si>
  <si>
    <t>3302056</t>
  </si>
  <si>
    <t>Itaocara</t>
  </si>
  <si>
    <t>3302106</t>
  </si>
  <si>
    <t>Itaperuna</t>
  </si>
  <si>
    <t>3302205</t>
  </si>
  <si>
    <t>Itatiaia</t>
  </si>
  <si>
    <t>3302254</t>
  </si>
  <si>
    <t>Sem linha de restos a pagar</t>
  </si>
  <si>
    <t>Japeri</t>
  </si>
  <si>
    <t>3302270</t>
  </si>
  <si>
    <t>Laje do Muriaé</t>
  </si>
  <si>
    <t>3302304</t>
  </si>
  <si>
    <t>Macaé</t>
  </si>
  <si>
    <t>3302403</t>
  </si>
  <si>
    <t>Macuco</t>
  </si>
  <si>
    <t>3302452</t>
  </si>
  <si>
    <t>Magé</t>
  </si>
  <si>
    <t>3302502</t>
  </si>
  <si>
    <t>Mangaratiba</t>
  </si>
  <si>
    <t>3302601</t>
  </si>
  <si>
    <t>Maricá</t>
  </si>
  <si>
    <t>3302700</t>
  </si>
  <si>
    <t>Mendes</t>
  </si>
  <si>
    <t>3302809</t>
  </si>
  <si>
    <t>Mesquita</t>
  </si>
  <si>
    <t>3302858</t>
  </si>
  <si>
    <t>Miguel Pereira</t>
  </si>
  <si>
    <t>3302908</t>
  </si>
  <si>
    <t>Miracema</t>
  </si>
  <si>
    <t>3303005</t>
  </si>
  <si>
    <t>Rcl atípica; Poderes incompletos no RGF: a soma de pessoal fica subestimada</t>
  </si>
  <si>
    <t>Natividade</t>
  </si>
  <si>
    <t>3303104</t>
  </si>
  <si>
    <t>Nilópolis</t>
  </si>
  <si>
    <t>3303203</t>
  </si>
  <si>
    <t>Niterói</t>
  </si>
  <si>
    <t>3303302</t>
  </si>
  <si>
    <t>Nova Friburgo</t>
  </si>
  <si>
    <t>3303401</t>
  </si>
  <si>
    <t>Nova Iguaçu</t>
  </si>
  <si>
    <t>3303500</t>
  </si>
  <si>
    <t>Paracambi</t>
  </si>
  <si>
    <t>3303609</t>
  </si>
  <si>
    <t>Paraty</t>
  </si>
  <si>
    <t>3303807</t>
  </si>
  <si>
    <t>Paraíba do Sul</t>
  </si>
  <si>
    <t>3303708</t>
  </si>
  <si>
    <t>Paty do Alferes</t>
  </si>
  <si>
    <t>3303856</t>
  </si>
  <si>
    <t>Petrópolis</t>
  </si>
  <si>
    <t>3303906</t>
  </si>
  <si>
    <t>Pinheiral</t>
  </si>
  <si>
    <t>3303955</t>
  </si>
  <si>
    <t>Piraí</t>
  </si>
  <si>
    <t>3304003</t>
  </si>
  <si>
    <t>Porciúncula</t>
  </si>
  <si>
    <t>3304102</t>
  </si>
  <si>
    <t>Porto Real</t>
  </si>
  <si>
    <t>3304110</t>
  </si>
  <si>
    <t>Quatis</t>
  </si>
  <si>
    <t>3304128</t>
  </si>
  <si>
    <t>Queimados</t>
  </si>
  <si>
    <t>3304144</t>
  </si>
  <si>
    <t>Quissamã</t>
  </si>
  <si>
    <t>3304151</t>
  </si>
  <si>
    <t>Resende</t>
  </si>
  <si>
    <t>3304201</t>
  </si>
  <si>
    <t>Rio Bonito</t>
  </si>
  <si>
    <t>3304300</t>
  </si>
  <si>
    <t>Rio Claro</t>
  </si>
  <si>
    <t>3304409</t>
  </si>
  <si>
    <t>Rio das Flores</t>
  </si>
  <si>
    <t>3304508</t>
  </si>
  <si>
    <t>Rio das Ostras</t>
  </si>
  <si>
    <t>3304524</t>
  </si>
  <si>
    <t>Rio de Janeiro (capital)</t>
  </si>
  <si>
    <t>3304557</t>
  </si>
  <si>
    <t>Santa Maria Madalena</t>
  </si>
  <si>
    <t>3304607</t>
  </si>
  <si>
    <t>Santo Antônio de Pádua</t>
  </si>
  <si>
    <t>3304706</t>
  </si>
  <si>
    <t>Sapucaia</t>
  </si>
  <si>
    <t>3305406</t>
  </si>
  <si>
    <t>Saquarema</t>
  </si>
  <si>
    <t>3305505</t>
  </si>
  <si>
    <t>Sem limite de dívida declarado</t>
  </si>
  <si>
    <t>Seropédica</t>
  </si>
  <si>
    <t>3305554</t>
  </si>
  <si>
    <t>Silva Jardim</t>
  </si>
  <si>
    <t>3305604</t>
  </si>
  <si>
    <t>Sumidouro</t>
  </si>
  <si>
    <t>3305703</t>
  </si>
  <si>
    <t>São Fidélis</t>
  </si>
  <si>
    <t>3304805</t>
  </si>
  <si>
    <t>São Francisco de Itabapoana</t>
  </si>
  <si>
    <t>3304755</t>
  </si>
  <si>
    <t>São Gonçalo</t>
  </si>
  <si>
    <t>3304904</t>
  </si>
  <si>
    <t>São José de Ubá</t>
  </si>
  <si>
    <t>3305133</t>
  </si>
  <si>
    <t>São José do Vale do Rio Preto</t>
  </si>
  <si>
    <t>3305158</t>
  </si>
  <si>
    <t>São João da Barra</t>
  </si>
  <si>
    <t>3305000</t>
  </si>
  <si>
    <t>São João de Meriti</t>
  </si>
  <si>
    <t>3305109</t>
  </si>
  <si>
    <t>São Pedro da Aldeia</t>
  </si>
  <si>
    <t>3305208</t>
  </si>
  <si>
    <t>São Sebastião do Alto</t>
  </si>
  <si>
    <t>3305307</t>
  </si>
  <si>
    <t>Tanguá</t>
  </si>
  <si>
    <t>3305752</t>
  </si>
  <si>
    <t>Teresópolis</t>
  </si>
  <si>
    <t>3305802</t>
  </si>
  <si>
    <t>Trajano de Moraes</t>
  </si>
  <si>
    <t>3305901</t>
  </si>
  <si>
    <t>Três Rios</t>
  </si>
  <si>
    <t>3306008</t>
  </si>
  <si>
    <t>Valença</t>
  </si>
  <si>
    <t>3306107</t>
  </si>
  <si>
    <t>Varre-Sai</t>
  </si>
  <si>
    <t>3306156</t>
  </si>
  <si>
    <t>Vassouras</t>
  </si>
  <si>
    <t>3306206</t>
  </si>
  <si>
    <t>Relatório simplificado; Sem limite de dívida declarado</t>
  </si>
  <si>
    <t>Volta Redonda</t>
  </si>
  <si>
    <t>3306305</t>
  </si>
  <si>
    <t>Resultados com e sem os casos especiais (municípios do RJ)</t>
  </si>
  <si>
    <t>Mediana de cada indicador em quatro versões: todos os municípios; sem os 4 de dado atípico; sem os 12 de relatório simplificado; sem os dois grupos. Tudo é fórmula sobre a aba 'Municípios RJ'. Os 4 atípicos são os marcados em amarelo naquela aba.</t>
  </si>
  <si>
    <t>Versão</t>
  </si>
  <si>
    <t>nº de municípios</t>
  </si>
  <si>
    <t>Saúde por habitante (mediana)</t>
  </si>
  <si>
    <t>Saúde, % da despesa (mediana)</t>
  </si>
  <si>
    <t>Pessoal total, % da RCL (mediana)</t>
  </si>
  <si>
    <t>Despesa, % da receita (mediana)</t>
  </si>
  <si>
    <t>Todos os municípios</t>
  </si>
  <si>
    <t>Sem os 4 de dado atípico</t>
  </si>
  <si>
    <t>Sem os 12 simplificados</t>
  </si>
  <si>
    <t>Sem os atípicos e sem os simplificados</t>
  </si>
  <si>
    <t>Bloco auxiliar (alimenta as medianas acima): cada coluna repete o indicador só para os municípios que ficam na versão.</t>
  </si>
  <si>
    <t>Município</t>
  </si>
  <si>
    <t>Simplificado?</t>
  </si>
  <si>
    <t>Saúde por habitante | sem atípicos</t>
  </si>
  <si>
    <t>Saúde por habitante | sem simplificados</t>
  </si>
  <si>
    <t>Saúde por habitante | sem ambos</t>
  </si>
  <si>
    <t>Saúde, % da despesa | sem atípicos</t>
  </si>
  <si>
    <t>Saúde, % da despesa | sem simplificados</t>
  </si>
  <si>
    <t>Saúde, % da despesa | sem ambos</t>
  </si>
  <si>
    <t>Pessoal total, % da RCL | sem atípicos</t>
  </si>
  <si>
    <t>Pessoal total, % da RCL | sem simplificados</t>
  </si>
  <si>
    <t>Pessoal total, % da RCL | sem ambos</t>
  </si>
  <si>
    <t>Despesa, % da receita | sem atípicos</t>
  </si>
  <si>
    <t>Despesa, % da receita | sem simplificados</t>
  </si>
  <si>
    <t>Despesa, % da receita | sem ambos</t>
  </si>
  <si>
    <t>Dados que alimentam os gráficos. Os nomes estão na ordem do valor (maior primeiro) no momento da geração; os valores são fórmulas sobre a aba 'Estados'. Se os dados mudarem, a ordem pode ficar desatualizada.</t>
  </si>
  <si>
    <t>Estado</t>
  </si>
  <si>
    <t>Gasto em Saúde por habitante</t>
  </si>
  <si>
    <t>Saúde como % da despesa total</t>
  </si>
  <si>
    <t>Pessoal total (soma dos Poderes)</t>
  </si>
  <si>
    <t>Dívida consolidada líquida</t>
  </si>
  <si>
    <t>Gráficos dos 27 estados (barra azul = Rio de Janeiro; cinza = os demais). Dados em 'Dados dos gráficos'.</t>
  </si>
  <si>
    <t>Legenda e glossário</t>
  </si>
  <si>
    <t>1. Siglas e termos</t>
  </si>
  <si>
    <t>Sigla ou termo</t>
  </si>
  <si>
    <t>Significado</t>
  </si>
  <si>
    <t>Siconfi</t>
  </si>
  <si>
    <t>Sistema de Informações Contábeis e Fiscais do Setor Público Brasileiro (Tesouro Nacional). Fonte de todos os números.</t>
  </si>
  <si>
    <t>RREO</t>
  </si>
  <si>
    <t>Relatório Resumido da Execução Orçamentária (bimestral). Usamos o 6º bimestre, que acumula o ano.</t>
  </si>
  <si>
    <t>RGF</t>
  </si>
  <si>
    <t>Relatório de Gestão Fiscal (quadrimestral; semestral nos municípios simplificados).</t>
  </si>
  <si>
    <t>LRF</t>
  </si>
  <si>
    <t>Lei de Responsabilidade Fiscal.</t>
  </si>
  <si>
    <t>RCL</t>
  </si>
  <si>
    <t>Receita corrente líquida: base dos limites de pessoal e de endividamento.</t>
  </si>
  <si>
    <t>RCL ajustada</t>
  </si>
  <si>
    <t>RCL menos transferências da União ligadas a emendas individuais, emendas de bancada e agentes comunitários de saúde. A dedução é feita pelo próprio ente no RGF.</t>
  </si>
  <si>
    <t>Empenhada</t>
  </si>
  <si>
    <t>Despesa comprometida no orçamento. Não é o mesmo que paga.</t>
  </si>
  <si>
    <t>Intra-orçamentárias</t>
  </si>
  <si>
    <t>Despesas entre órgãos do mesmo governo. Ficam de fora para não contar duas vezes.</t>
  </si>
  <si>
    <t>Restos a pagar</t>
  </si>
  <si>
    <t>Despesas empenhadas e não pagas até o fim do ano.</t>
  </si>
  <si>
    <t>Poder</t>
  </si>
  <si>
    <t>Executivo, Legislativo, Judiciário, Ministério Público ou Defensoria. A LRF fixa limite de pessoal para cada um.</t>
  </si>
  <si>
    <t>Dívida consolidada menos as disponibilidades de caixa e haveres, segundo o RGF.</t>
  </si>
  <si>
    <t>Limite do Senado</t>
  </si>
  <si>
    <t>Limite de endividamento definido por resolução do Senado, como o ente o declara no RGF.</t>
  </si>
  <si>
    <t>DF</t>
  </si>
  <si>
    <t>Distrito Federal. Acumula funções de estado e de município e só tem dado de 2 Poderes no RGF.</t>
  </si>
  <si>
    <t>Posição (1 = maior)</t>
  </si>
  <si>
    <t>1 é o ente com o maior valor do indicador, dentro do grupo (27 estados, ou 92 municípios).</t>
  </si>
  <si>
    <t>n/c</t>
  </si>
  <si>
    <t>Não comparável: ente com Poderes faltando no RGF, fora da posição de pessoal total.</t>
  </si>
  <si>
    <t>Mediana</t>
  </si>
  <si>
    <t>Valor do meio quando os entes são ordenados. Pouco sensível a casos extremos.</t>
  </si>
  <si>
    <t>2. Colunas das abas Estados e Municípios RJ</t>
  </si>
  <si>
    <t>Aba</t>
  </si>
  <si>
    <t>Coluna</t>
  </si>
  <si>
    <t>O que é</t>
  </si>
  <si>
    <t>De onde vem</t>
  </si>
  <si>
    <t>Estados</t>
  </si>
  <si>
    <t>Nome do ente</t>
  </si>
  <si>
    <t>Cadastro do Siconfi (`/entes`)</t>
  </si>
  <si>
    <t>Código IBGE (2 dígitos para estado, 7 para município)</t>
  </si>
  <si>
    <t>Cadastro do Siconfi</t>
  </si>
  <si>
    <t>População do ente, estimativa 2024 do IBGE</t>
  </si>
  <si>
    <t>IBGE, SIDRA, tabela 6579, variável 9324</t>
  </si>
  <si>
    <t>Receita realizada no ano, sem intra-orçamentárias</t>
  </si>
  <si>
    <t>RREO Anexo 01, ReceitasExcetoIntraOrcamentarias, 'Até o Bimestre (c)'</t>
  </si>
  <si>
    <t>Despesa empenhada no ano, sem intra-orçamentárias</t>
  </si>
  <si>
    <t>RREO Anexo 01, DespesasExcetoIntraOrcamentarias, 'Despesas empenhadas até o bimestre (f)'</t>
  </si>
  <si>
    <t>Total de despesa do Anexo 02, sem intra-orçamentárias (em Armação dos Búzios, o Anexo 02 é incoerente e vale o total do Anexo 01)</t>
  </si>
  <si>
    <t>RREO Anexo 02, linha 'DESPESAS (EXCETO INTRA-ORÇAMENTÁRIAS) (I)'; Búzios: Anexo 01</t>
  </si>
  <si>
    <t>Despesa empenhada na função Saúde, sem intra-orçamentárias</t>
  </si>
  <si>
    <t>RREO Anexo 02, linha 'Saúde', 'Despesas empenhadas até o bimestre (b)'; Armação dos Búzios: DCA Anexo I-E, função 10 (checagem A2)</t>
  </si>
  <si>
    <t>Receita corrente líquida ajustada, base dos limites de pessoal</t>
  </si>
  <si>
    <t>RGF Anexo 01, ReceitaCorrenteLiquidaAjustada, 'Valor'</t>
  </si>
  <si>
    <t>Despesa total com pessoal do Executivo</t>
  </si>
  <si>
    <t>RGF Anexo 01, conta DespesaComPessoalTotal, coluna 'Valor'</t>
  </si>
  <si>
    <t>Despesa total com pessoal do Legislativo</t>
  </si>
  <si>
    <t>Despesa total com pessoal do Judiciário</t>
  </si>
  <si>
    <t>Despesa total com pessoal do Ministério Público</t>
  </si>
  <si>
    <t>Despesa total com pessoal do Defensoria</t>
  </si>
  <si>
    <t>Dívida consolidada líquida como % da RCL ajustada para endividamento</t>
  </si>
  <si>
    <t>RGF Anexo 02, PercentualDaDCLSobreARCL, coluna do último período</t>
  </si>
  <si>
    <t>Limite de endividamento declarado, como % da RCL (limite ÷ RCL de endividamento, ou o próprio percentual quando o ente o declarou assim)</t>
  </si>
  <si>
    <t>RGF Anexo 02, LimiteDefinidoPorResolucaoDoSenadoFederal</t>
  </si>
  <si>
    <t>Saldo total de restos a pagar, sem intra-orçamentários</t>
  </si>
  <si>
    <t>RREO Anexo 07, SaldoTotal, linha 'RESTOS A PAGAR (EXCETO INTRA-ORÇAMENTÁRIOS) (I)'</t>
  </si>
  <si>
    <t>Saúde ÷ população</t>
  </si>
  <si>
    <t>Fórmula: Despesa em Saúde ÷ População</t>
  </si>
  <si>
    <t>Fatia da despesa total (Anexo 02) que vai para Saúde</t>
  </si>
  <si>
    <t>Fórmula: Despesa em Saúde ÷ Despesa total do Anexo 02</t>
  </si>
  <si>
    <t>Receita realizada ÷ população</t>
  </si>
  <si>
    <t>Fórmula: Receita realizada ÷ População</t>
  </si>
  <si>
    <t>Despesa empenhada ÷ receita realizada</t>
  </si>
  <si>
    <t>Fórmula: Despesa empenhada ÷ Receita realizada</t>
  </si>
  <si>
    <t>Soma do pessoal de todos os Poderes</t>
  </si>
  <si>
    <t>Fórmula: soma das colunas de pessoal por Poder</t>
  </si>
  <si>
    <t>Quantos Poderes têm dado no RGF</t>
  </si>
  <si>
    <t>Fórmula: contagem das colunas de pessoal preenchidas</t>
  </si>
  <si>
    <t>Indicador principal de pessoal: soma dos Poderes ÷ RCL ajustada</t>
  </si>
  <si>
    <t>Fórmula: Pessoal total ÷ RCL ajustada</t>
  </si>
  <si>
    <t>Pessoal do Executivo ÷ RCL ajustada</t>
  </si>
  <si>
    <t>Fórmula: Pessoal Executivo ÷ RCL ajustada</t>
  </si>
  <si>
    <t>Saldo de restos a pagar ÷ receita realizada</t>
  </si>
  <si>
    <t>Fórmula: Restos a pagar ÷ Receita realizada</t>
  </si>
  <si>
    <t>Posição entre os entes do grupo (1 = maior valor)</t>
  </si>
  <si>
    <t>Fórmula: RANK da coluna Saúde por habitante</t>
  </si>
  <si>
    <t>Fórmula: RANK da coluna Saúde, % da despesa</t>
  </si>
  <si>
    <t>Fórmula: RANK da coluna Despesa, % da receita</t>
  </si>
  <si>
    <t>Posição entre os entes com Poderes completos (1 = maior); 'n/c' = não comparável</t>
  </si>
  <si>
    <t>Fórmula: conta quantos entes completos têm valor maior</t>
  </si>
  <si>
    <t>Fórmula: RANK da coluna Dívida líquida, % da RCL</t>
  </si>
  <si>
    <t>Avisos sobre o ente (casos especiais, dados ausentes, comparabilidade)</t>
  </si>
  <si>
    <t>Notebook da EDA</t>
  </si>
  <si>
    <t>Municípios RJ</t>
  </si>
  <si>
    <t>O município entrega RREO e RGF simplificados</t>
  </si>
  <si>
    <t>Registro da coleta (extrato de entregas)</t>
  </si>
  <si>
    <t>Dado atípico tratado 'com e sem'</t>
  </si>
  <si>
    <t>Avisos sobre o ente</t>
  </si>
  <si>
    <t>3. Limites desta análise</t>
  </si>
  <si>
    <t>• Um ano só (2024), e só o último período de cada relatório.</t>
  </si>
  <si>
    <t>• Os valores são o que cada ente declarou. Não foram auditados.</t>
  </si>
  <si>
    <t>• Limites de pessoal e de dívida são os declarados pelos entes, não conferidos com a lei.</t>
  </si>
  <si>
    <t>• O Siconfi mostra gasto, não a qualidade do atendimento. Nenhum indicador aqui mede se a saúde de um lugar é boa ou ruim.</t>
  </si>
  <si>
    <t>• O mínimo legal de saúde não está nesta planilha (fonte alternativa, o SIOPS, estava fora do ar em 21/10/2026).</t>
  </si>
  <si>
    <t>• Comparações valem dentro de cada grupo: estados entre si, municípios entre si.</t>
  </si>
  <si>
    <t>• Dados de 4 municípios estão marcados em amarelo por serem atípicos (RCL atípica ou totais de despesa inconsistentes). Estão mantidos, e a aba 'Com e sem' mostra o resultado sem eles.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</si>
</sst>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$&quot;\ #,##0"/>
    <numFmt numFmtId="165" formatCode="0.0%"/>
  </numFmts>
  <fonts count="7" x14ac:knownFonts="1">
    <font>
      <sz val="11"/>
      <color theme="1"/>
      <name val="Calibri"/>
      <family val="2"/>
      <scheme val="minor"/>
    </font>
    <font>
      <b/>
      <sz val="10"/>
      <name val="Arial"/>
    </font>
    <font>
      <sz val="10"/>
      <name val="Arial"/>
    </font>
    <font>
      <sz val="10"/>
      <color rgb="FF0000FF"/>
      <name val="Arial"/>
    </font>
    <font>
      <b/>
      <sz val="10"/>
      <color rgb="FF0000FF"/>
      <name val="Arial"/>
    </font>
    <font>
      <b/>
      <sz val="12"/>
      <name val="Arial"/>
    </font>
    <font>
      <b/>
      <sz val="16"/>
      <name val="Arial"/>
    </font>
  </fonts>
  <fills count="5">
    <fill>
      <patternFill patternType="none"/>
    </fill>
    <fill>
      <patternFill patternType="gray125"/>
    </fill>
    <fill>
      <patternFill patternType="solid">
        <fgColor rgb="FFE1E0D9"/>
      </patternFill>
    </fill>
    <fill>
      <patternFill patternType="solid">
        <fgColor rgb="FFDCEBFB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/>
      <right/>
      <top/>
      <bottom style="thin">
        <color rgb="FFC3C2B7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6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1" fillId="2" borderId="0" xfId="0" applyFont="1" applyFill="1" applyAlignment="1">
      <alignment horizontal="center" vertical="center" wrapText="1"/>
    </xf>
    <xf numFmtId="49" fontId="2" fillId="0" borderId="1" xfId="0" applyNumberFormat="1" applyFont="1" applyBorder="1" applyAlignment="1">
      <alignment vertical="center"/>
    </xf>
    <xf numFmtId="49" fontId="3" fillId="0" borderId="1" xfId="0" applyNumberFormat="1" applyFont="1" applyBorder="1" applyAlignment="1">
      <alignment vertical="center"/>
    </xf>
    <xf numFmtId="3" fontId="3" fillId="0" borderId="1" xfId="0" applyNumberFormat="1" applyFont="1" applyBorder="1"/>
    <xf numFmtId="164" fontId="3" fillId="0" borderId="1" xfId="0" applyNumberFormat="1" applyFont="1" applyBorder="1"/>
    <xf numFmtId="165" fontId="3" fillId="0" borderId="1" xfId="0" applyNumberFormat="1" applyFont="1" applyBorder="1"/>
    <xf numFmtId="164" fontId="2" fillId="0" borderId="1" xfId="0" applyNumberFormat="1" applyFont="1" applyBorder="1"/>
    <xf numFmtId="165" fontId="2" fillId="0" borderId="1" xfId="0" applyNumberFormat="1" applyFont="1" applyBorder="1"/>
    <xf numFmtId="3" fontId="2" fillId="0" borderId="1" xfId="0" applyNumberFormat="1" applyFont="1" applyBorder="1"/>
    <xf numFmtId="49" fontId="1" fillId="3" borderId="1" xfId="0" applyNumberFormat="1" applyFont="1" applyFill="1" applyBorder="1" applyAlignment="1">
      <alignment vertical="center"/>
    </xf>
    <xf numFmtId="49" fontId="4" fillId="3" borderId="1" xfId="0" applyNumberFormat="1" applyFont="1" applyFill="1" applyBorder="1" applyAlignment="1">
      <alignment vertical="center"/>
    </xf>
    <xf numFmtId="3" fontId="4" fillId="3" borderId="1" xfId="0" applyNumberFormat="1" applyFont="1" applyFill="1" applyBorder="1"/>
    <xf numFmtId="164" fontId="4" fillId="3" borderId="1" xfId="0" applyNumberFormat="1" applyFont="1" applyFill="1" applyBorder="1"/>
    <xf numFmtId="165" fontId="4" fillId="3" borderId="1" xfId="0" applyNumberFormat="1" applyFont="1" applyFill="1" applyBorder="1"/>
    <xf numFmtId="164" fontId="1" fillId="3" borderId="1" xfId="0" applyNumberFormat="1" applyFont="1" applyFill="1" applyBorder="1"/>
    <xf numFmtId="165" fontId="1" fillId="3" borderId="1" xfId="0" applyNumberFormat="1" applyFont="1" applyFill="1" applyBorder="1"/>
    <xf numFmtId="3" fontId="1" fillId="3" borderId="1" xfId="0" applyNumberFormat="1" applyFont="1" applyFill="1" applyBorder="1"/>
    <xf numFmtId="49" fontId="2" fillId="4" borderId="1" xfId="0" applyNumberFormat="1" applyFont="1" applyFill="1" applyBorder="1" applyAlignment="1">
      <alignment vertical="center"/>
    </xf>
    <xf numFmtId="49" fontId="3" fillId="4" borderId="1" xfId="0" applyNumberFormat="1" applyFont="1" applyFill="1" applyBorder="1" applyAlignment="1">
      <alignment vertical="center"/>
    </xf>
    <xf numFmtId="3" fontId="3" fillId="4" borderId="1" xfId="0" applyNumberFormat="1" applyFont="1" applyFill="1" applyBorder="1"/>
    <xf numFmtId="164" fontId="3" fillId="4" borderId="1" xfId="0" applyNumberFormat="1" applyFont="1" applyFill="1" applyBorder="1"/>
    <xf numFmtId="165" fontId="3" fillId="4" borderId="1" xfId="0" applyNumberFormat="1" applyFont="1" applyFill="1" applyBorder="1"/>
    <xf numFmtId="164" fontId="2" fillId="4" borderId="1" xfId="0" applyNumberFormat="1" applyFont="1" applyFill="1" applyBorder="1"/>
    <xf numFmtId="165" fontId="2" fillId="4" borderId="1" xfId="0" applyNumberFormat="1" applyFont="1" applyFill="1" applyBorder="1"/>
    <xf numFmtId="3" fontId="2" fillId="4" borderId="1" xfId="0" applyNumberFormat="1" applyFont="1" applyFill="1" applyBorder="1"/>
    <xf numFmtId="0" fontId="5" fillId="0" borderId="0" xfId="0" applyFont="1"/>
    <xf numFmtId="0" fontId="1" fillId="0" borderId="1" xfId="0" applyFont="1" applyBorder="1"/>
    <xf numFmtId="0" fontId="2" fillId="0" borderId="1" xfId="0" applyFont="1" applyBorder="1"/>
    <xf numFmtId="0" fontId="1" fillId="0" borderId="0" xfId="0" applyFont="1"/>
    <xf numFmtId="0" fontId="2" fillId="0" borderId="0" xfId="0" applyFont="1"/>
    <xf numFmtId="164" fontId="2" fillId="0" borderId="0" xfId="0" applyNumberFormat="1" applyFont="1"/>
    <xf numFmtId="165" fontId="2" fillId="0" borderId="0" xfId="0" applyNumberFormat="1" applyFont="1"/>
    <xf numFmtId="0" fontId="6" fillId="0" borderId="0" xfId="0" applyFont="1"/>
    <xf numFmtId="0" fontId="1" fillId="2" borderId="0" xfId="0" applyFont="1" applyFill="1"/>
    <xf numFmtId="0" fontId="2" fillId="0" borderId="0" xfId="0" applyFont="1" applyAlignment="1">
      <alignment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10"/>
  <c:chart>
    <c:title>
      <c:tx>
        <c:rich>
          <a:bodyPr/>
          <a:lstStyle/>
          <a:p>
            <a:pPr>
              <a:defRPr/>
            </a:pPr>
            <a:r>
              <a:t>Gasto em Saúde por habitante, 2024 (R$)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'Dados dos gráficos'!$B$3</c:f>
              <c:strCache>
                <c:ptCount val="1"/>
                <c:pt idx="0">
                  <c:v>Gasto em Saúde por habitante</c:v>
                </c:pt>
              </c:strCache>
            </c:strRef>
          </c:tx>
          <c:spPr>
            <a:solidFill>
              <a:srgbClr val="C3C2B7"/>
            </a:solidFill>
            <a:ln>
              <a:solidFill>
                <a:srgbClr val="C3C2B7"/>
              </a:solidFill>
              <a:prstDash val="solid"/>
            </a:ln>
          </c:spPr>
          <c:invertIfNegative val="0"/>
          <c:dPt>
            <c:idx val="26"/>
            <c:invertIfNegative val="1"/>
            <c:bubble3D val="0"/>
            <c:spPr>
              <a:solidFill>
                <a:srgbClr val="2A78D6"/>
              </a:solidFill>
              <a:ln>
                <a:solidFill>
                  <a:srgbClr val="2A78D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B02-4875-A69A-09535A5D64C9}"/>
              </c:ext>
            </c:extLst>
          </c:dPt>
          <c:cat>
            <c:strRef>
              <c:f>'Dados dos gráficos'!$A$4:$A$30</c:f>
              <c:strCache>
                <c:ptCount val="27"/>
                <c:pt idx="0">
                  <c:v>Amapá</c:v>
                </c:pt>
                <c:pt idx="1">
                  <c:v>Acre</c:v>
                </c:pt>
                <c:pt idx="2">
                  <c:v>Tocantins</c:v>
                </c:pt>
                <c:pt idx="3">
                  <c:v>Roraima</c:v>
                </c:pt>
                <c:pt idx="4">
                  <c:v>Distrito Federal</c:v>
                </c:pt>
                <c:pt idx="5">
                  <c:v>Rondônia</c:v>
                </c:pt>
                <c:pt idx="6">
                  <c:v>Sergipe</c:v>
                </c:pt>
                <c:pt idx="7">
                  <c:v>Espírito Santo</c:v>
                </c:pt>
                <c:pt idx="8">
                  <c:v>Amazonas</c:v>
                </c:pt>
                <c:pt idx="9">
                  <c:v>Mato Grosso</c:v>
                </c:pt>
                <c:pt idx="10">
                  <c:v>Pernambuco</c:v>
                </c:pt>
                <c:pt idx="11">
                  <c:v>Piauí</c:v>
                </c:pt>
                <c:pt idx="12">
                  <c:v>Santa Catarina</c:v>
                </c:pt>
                <c:pt idx="13">
                  <c:v>Alagoas</c:v>
                </c:pt>
                <c:pt idx="14">
                  <c:v>Bahia</c:v>
                </c:pt>
                <c:pt idx="15">
                  <c:v>Rio Grande do Sul</c:v>
                </c:pt>
                <c:pt idx="16">
                  <c:v>Mato Grosso do Sul</c:v>
                </c:pt>
                <c:pt idx="17">
                  <c:v>São Paulo</c:v>
                </c:pt>
                <c:pt idx="18">
                  <c:v>Rio Grande do Norte</c:v>
                </c:pt>
                <c:pt idx="19">
                  <c:v>Paraná</c:v>
                </c:pt>
                <c:pt idx="20">
                  <c:v>Paraíba</c:v>
                </c:pt>
                <c:pt idx="21">
                  <c:v>Goiás</c:v>
                </c:pt>
                <c:pt idx="22">
                  <c:v>Ceará</c:v>
                </c:pt>
                <c:pt idx="23">
                  <c:v>Maranhão</c:v>
                </c:pt>
                <c:pt idx="24">
                  <c:v>Pará</c:v>
                </c:pt>
                <c:pt idx="25">
                  <c:v>Minas Gerais</c:v>
                </c:pt>
                <c:pt idx="26">
                  <c:v>Rio de Janeiro (estado)</c:v>
                </c:pt>
              </c:strCache>
            </c:strRef>
          </c:cat>
          <c:val>
            <c:numRef>
              <c:f>'Dados dos gráficos'!$B$4:$B$30</c:f>
              <c:numCache>
                <c:formatCode>"R$"\ #,##0</c:formatCode>
                <c:ptCount val="27"/>
                <c:pt idx="0">
                  <c:v>2666.3549886589681</c:v>
                </c:pt>
                <c:pt idx="1">
                  <c:v>2366.7282753957106</c:v>
                </c:pt>
                <c:pt idx="2">
                  <c:v>2298.8683243139408</c:v>
                </c:pt>
                <c:pt idx="3">
                  <c:v>2241.4388948692299</c:v>
                </c:pt>
                <c:pt idx="4">
                  <c:v>1752.9908585337757</c:v>
                </c:pt>
                <c:pt idx="5">
                  <c:v>1354.5501911034476</c:v>
                </c:pt>
                <c:pt idx="6">
                  <c:v>1297.1934513462445</c:v>
                </c:pt>
                <c:pt idx="7">
                  <c:v>1257.229212903836</c:v>
                </c:pt>
                <c:pt idx="8">
                  <c:v>1206.5744513033585</c:v>
                </c:pt>
                <c:pt idx="9">
                  <c:v>1109.7873268239305</c:v>
                </c:pt>
                <c:pt idx="10">
                  <c:v>1008.084878980869</c:v>
                </c:pt>
                <c:pt idx="11">
                  <c:v>1002.4515846003994</c:v>
                </c:pt>
                <c:pt idx="12">
                  <c:v>967.20842023165528</c:v>
                </c:pt>
                <c:pt idx="13">
                  <c:v>945.93152759972975</c:v>
                </c:pt>
                <c:pt idx="14">
                  <c:v>928.76885291504743</c:v>
                </c:pt>
                <c:pt idx="15">
                  <c:v>925.30202891473368</c:v>
                </c:pt>
                <c:pt idx="16">
                  <c:v>911.59771560308013</c:v>
                </c:pt>
                <c:pt idx="17">
                  <c:v>879.36077572813406</c:v>
                </c:pt>
                <c:pt idx="18">
                  <c:v>807.51911302175722</c:v>
                </c:pt>
                <c:pt idx="19">
                  <c:v>785.01875795551086</c:v>
                </c:pt>
                <c:pt idx="20">
                  <c:v>765.53845052641225</c:v>
                </c:pt>
                <c:pt idx="21">
                  <c:v>759.07891307006628</c:v>
                </c:pt>
                <c:pt idx="22">
                  <c:v>749.17192559047032</c:v>
                </c:pt>
                <c:pt idx="23">
                  <c:v>685.28903926851672</c:v>
                </c:pt>
                <c:pt idx="24">
                  <c:v>681.46971808244075</c:v>
                </c:pt>
                <c:pt idx="25">
                  <c:v>666.93054848940028</c:v>
                </c:pt>
                <c:pt idx="26">
                  <c:v>606.24371310638253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B02-4875-A69A-09535A5D64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b"/>
        <c:majorGridlines>
          <c:spPr>
            <a:ln w="9525">
              <a:solidFill>
                <a:srgbClr val="E1E0D9"/>
              </a:solidFill>
              <a:prstDash val="solid"/>
            </a:ln>
          </c:spPr>
        </c:majorGridlines>
        <c:numFmt formatCode="&quot;R$&quot;\ #,##0" sourceLinked="0"/>
        <c:majorTickMark val="none"/>
        <c:minorTickMark val="none"/>
        <c:tickLblPos val="nextTo"/>
        <c:crossAx val="10"/>
        <c:crosses val="max"/>
        <c:crossBetween val="between"/>
      </c:valAx>
    </c:plotArea>
    <c:plotVisOnly val="1"/>
    <c:dispBlanksAs val="gap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10"/>
  <c:chart>
    <c:title>
      <c:tx>
        <c:rich>
          <a:bodyPr/>
          <a:lstStyle/>
          <a:p>
            <a:pPr>
              <a:defRPr/>
            </a:pPr>
            <a:r>
              <a:t>Saúde como % da despesa total, 2024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'Dados dos gráficos'!$E$3</c:f>
              <c:strCache>
                <c:ptCount val="1"/>
                <c:pt idx="0">
                  <c:v>Saúde como % da despesa total</c:v>
                </c:pt>
              </c:strCache>
            </c:strRef>
          </c:tx>
          <c:spPr>
            <a:solidFill>
              <a:srgbClr val="C3C2B7"/>
            </a:solidFill>
            <a:ln>
              <a:solidFill>
                <a:srgbClr val="C3C2B7"/>
              </a:solidFill>
              <a:prstDash val="solid"/>
            </a:ln>
          </c:spPr>
          <c:invertIfNegative val="0"/>
          <c:dPt>
            <c:idx val="26"/>
            <c:invertIfNegative val="1"/>
            <c:bubble3D val="0"/>
            <c:spPr>
              <a:solidFill>
                <a:srgbClr val="2A78D6"/>
              </a:solidFill>
              <a:ln>
                <a:solidFill>
                  <a:srgbClr val="2A78D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044F-4646-A254-974642F01EC4}"/>
              </c:ext>
            </c:extLst>
          </c:dPt>
          <c:cat>
            <c:strRef>
              <c:f>'Dados dos gráficos'!$D$4:$D$30</c:f>
              <c:strCache>
                <c:ptCount val="27"/>
                <c:pt idx="0">
                  <c:v>Tocantins</c:v>
                </c:pt>
                <c:pt idx="1">
                  <c:v>Amapá</c:v>
                </c:pt>
                <c:pt idx="2">
                  <c:v>Pernambuco</c:v>
                </c:pt>
                <c:pt idx="3">
                  <c:v>Sergipe</c:v>
                </c:pt>
                <c:pt idx="4">
                  <c:v>Roraima</c:v>
                </c:pt>
                <c:pt idx="5">
                  <c:v>Bahia</c:v>
                </c:pt>
                <c:pt idx="6">
                  <c:v>Acre</c:v>
                </c:pt>
                <c:pt idx="7">
                  <c:v>Espírito Santo</c:v>
                </c:pt>
                <c:pt idx="8">
                  <c:v>Ceará</c:v>
                </c:pt>
                <c:pt idx="9">
                  <c:v>Maranhão</c:v>
                </c:pt>
                <c:pt idx="10">
                  <c:v>Paraíba</c:v>
                </c:pt>
                <c:pt idx="11">
                  <c:v>Santa Catarina</c:v>
                </c:pt>
                <c:pt idx="12">
                  <c:v>Rondônia</c:v>
                </c:pt>
                <c:pt idx="13">
                  <c:v>Piauí</c:v>
                </c:pt>
                <c:pt idx="14">
                  <c:v>Alagoas</c:v>
                </c:pt>
                <c:pt idx="15">
                  <c:v>Rio Grande do Sul</c:v>
                </c:pt>
                <c:pt idx="16">
                  <c:v>Amazonas</c:v>
                </c:pt>
                <c:pt idx="17">
                  <c:v>Rio Grande do Norte</c:v>
                </c:pt>
                <c:pt idx="18">
                  <c:v>Distrito Federal</c:v>
                </c:pt>
                <c:pt idx="19">
                  <c:v>Minas Gerais</c:v>
                </c:pt>
                <c:pt idx="20">
                  <c:v>Paraná</c:v>
                </c:pt>
                <c:pt idx="21">
                  <c:v>Goiás</c:v>
                </c:pt>
                <c:pt idx="22">
                  <c:v>Pará</c:v>
                </c:pt>
                <c:pt idx="23">
                  <c:v>Mato Grosso</c:v>
                </c:pt>
                <c:pt idx="24">
                  <c:v>São Paulo</c:v>
                </c:pt>
                <c:pt idx="25">
                  <c:v>Mato Grosso do Sul</c:v>
                </c:pt>
                <c:pt idx="26">
                  <c:v>Rio de Janeiro (estado)</c:v>
                </c:pt>
              </c:strCache>
            </c:strRef>
          </c:cat>
          <c:val>
            <c:numRef>
              <c:f>'Dados dos gráficos'!$E$4:$E$30</c:f>
              <c:numCache>
                <c:formatCode>0.0%</c:formatCode>
                <c:ptCount val="27"/>
                <c:pt idx="0">
                  <c:v>0.22266025571094986</c:v>
                </c:pt>
                <c:pt idx="1">
                  <c:v>0.21986278175476948</c:v>
                </c:pt>
                <c:pt idx="2">
                  <c:v>0.20826083614298901</c:v>
                </c:pt>
                <c:pt idx="3">
                  <c:v>0.19965717768945807</c:v>
                </c:pt>
                <c:pt idx="4">
                  <c:v>0.19764793262342492</c:v>
                </c:pt>
                <c:pt idx="5">
                  <c:v>0.19313716857827709</c:v>
                </c:pt>
                <c:pt idx="6">
                  <c:v>0.18498307186224319</c:v>
                </c:pt>
                <c:pt idx="7">
                  <c:v>0.18467114137051041</c:v>
                </c:pt>
                <c:pt idx="8">
                  <c:v>0.17198311137520184</c:v>
                </c:pt>
                <c:pt idx="9">
                  <c:v>0.17027438644905468</c:v>
                </c:pt>
                <c:pt idx="10">
                  <c:v>0.16507195809990036</c:v>
                </c:pt>
                <c:pt idx="11">
                  <c:v>0.16400819754439974</c:v>
                </c:pt>
                <c:pt idx="12">
                  <c:v>0.16282473031074773</c:v>
                </c:pt>
                <c:pt idx="13">
                  <c:v>0.16188045148877353</c:v>
                </c:pt>
                <c:pt idx="14">
                  <c:v>0.16058095078308779</c:v>
                </c:pt>
                <c:pt idx="15">
                  <c:v>0.16050609272647273</c:v>
                </c:pt>
                <c:pt idx="16">
                  <c:v>0.15408601950996506</c:v>
                </c:pt>
                <c:pt idx="17">
                  <c:v>0.14537925044526345</c:v>
                </c:pt>
                <c:pt idx="18">
                  <c:v>0.140692366907712</c:v>
                </c:pt>
                <c:pt idx="19">
                  <c:v>0.13325666158182603</c:v>
                </c:pt>
                <c:pt idx="20">
                  <c:v>0.13293236590917895</c:v>
                </c:pt>
                <c:pt idx="21">
                  <c:v>0.13281814593866442</c:v>
                </c:pt>
                <c:pt idx="22">
                  <c:v>0.13137585584222264</c:v>
                </c:pt>
                <c:pt idx="23">
                  <c:v>0.11740383409649818</c:v>
                </c:pt>
                <c:pt idx="24">
                  <c:v>0.11693410302024462</c:v>
                </c:pt>
                <c:pt idx="25">
                  <c:v>0.1153678566221442</c:v>
                </c:pt>
                <c:pt idx="26">
                  <c:v>0.10386532501291376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44F-4646-A254-974642F01E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b"/>
        <c:majorGridlines>
          <c:spPr>
            <a:ln w="9525">
              <a:solidFill>
                <a:srgbClr val="E1E0D9"/>
              </a:solidFill>
              <a:prstDash val="solid"/>
            </a:ln>
          </c:spPr>
        </c:majorGridlines>
        <c:numFmt formatCode="0%" sourceLinked="0"/>
        <c:majorTickMark val="none"/>
        <c:minorTickMark val="none"/>
        <c:tickLblPos val="nextTo"/>
        <c:crossAx val="10"/>
        <c:crosses val="max"/>
        <c:crossBetween val="between"/>
      </c:valAx>
    </c:plotArea>
    <c:plotVisOnly val="1"/>
    <c:dispBlanksAs val="gap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10"/>
  <c:chart>
    <c:title>
      <c:tx>
        <c:rich>
          <a:bodyPr/>
          <a:lstStyle/>
          <a:p>
            <a:pPr>
              <a:defRPr/>
            </a:pPr>
            <a:r>
              <a:t>Pessoal total (soma dos Poderes), % da RCL, 2024 (sem o DF)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'Dados dos gráficos'!$H$3</c:f>
              <c:strCache>
                <c:ptCount val="1"/>
                <c:pt idx="0">
                  <c:v>Pessoal total (soma dos Poderes)</c:v>
                </c:pt>
              </c:strCache>
            </c:strRef>
          </c:tx>
          <c:spPr>
            <a:solidFill>
              <a:srgbClr val="C3C2B7"/>
            </a:solidFill>
            <a:ln>
              <a:solidFill>
                <a:srgbClr val="C3C2B7"/>
              </a:solidFill>
              <a:prstDash val="solid"/>
            </a:ln>
          </c:spPr>
          <c:invertIfNegative val="0"/>
          <c:dPt>
            <c:idx val="4"/>
            <c:invertIfNegative val="1"/>
            <c:bubble3D val="0"/>
            <c:spPr>
              <a:solidFill>
                <a:srgbClr val="2A78D6"/>
              </a:solidFill>
              <a:ln>
                <a:solidFill>
                  <a:srgbClr val="2A78D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FCA8-47E4-BE2C-C89A631A341E}"/>
              </c:ext>
            </c:extLst>
          </c:dPt>
          <c:cat>
            <c:strRef>
              <c:f>'Dados dos gráficos'!$G$4:$G$29</c:f>
              <c:strCache>
                <c:ptCount val="26"/>
                <c:pt idx="0">
                  <c:v>Rio Grande do Norte</c:v>
                </c:pt>
                <c:pt idx="1">
                  <c:v>Minas Gerais</c:v>
                </c:pt>
                <c:pt idx="2">
                  <c:v>Paraíba</c:v>
                </c:pt>
                <c:pt idx="3">
                  <c:v>Roraima</c:v>
                </c:pt>
                <c:pt idx="4">
                  <c:v>Rio de Janeiro (estado)</c:v>
                </c:pt>
                <c:pt idx="5">
                  <c:v>Acre</c:v>
                </c:pt>
                <c:pt idx="6">
                  <c:v>Mato Grosso do Sul</c:v>
                </c:pt>
                <c:pt idx="7">
                  <c:v>Tocantins</c:v>
                </c:pt>
                <c:pt idx="8">
                  <c:v>Amapá</c:v>
                </c:pt>
                <c:pt idx="9">
                  <c:v>Ceará</c:v>
                </c:pt>
                <c:pt idx="10">
                  <c:v>Goiás</c:v>
                </c:pt>
                <c:pt idx="11">
                  <c:v>Paraná</c:v>
                </c:pt>
                <c:pt idx="12">
                  <c:v>Piauí</c:v>
                </c:pt>
                <c:pt idx="13">
                  <c:v>Bahia</c:v>
                </c:pt>
                <c:pt idx="14">
                  <c:v>Pernambuco</c:v>
                </c:pt>
                <c:pt idx="15">
                  <c:v>Santa Catarina</c:v>
                </c:pt>
                <c:pt idx="16">
                  <c:v>Sergipe</c:v>
                </c:pt>
                <c:pt idx="17">
                  <c:v>Rio Grande do Sul</c:v>
                </c:pt>
                <c:pt idx="18">
                  <c:v>Pará</c:v>
                </c:pt>
                <c:pt idx="19">
                  <c:v>Rondônia</c:v>
                </c:pt>
                <c:pt idx="20">
                  <c:v>Amazonas</c:v>
                </c:pt>
                <c:pt idx="21">
                  <c:v>Mato Grosso</c:v>
                </c:pt>
                <c:pt idx="22">
                  <c:v>São Paulo</c:v>
                </c:pt>
                <c:pt idx="23">
                  <c:v>Espírito Santo</c:v>
                </c:pt>
                <c:pt idx="24">
                  <c:v>Alagoas</c:v>
                </c:pt>
                <c:pt idx="25">
                  <c:v>Maranhão</c:v>
                </c:pt>
              </c:strCache>
            </c:strRef>
          </c:cat>
          <c:val>
            <c:numRef>
              <c:f>'Dados dos gráficos'!$H$4:$H$29</c:f>
              <c:numCache>
                <c:formatCode>0.0%</c:formatCode>
                <c:ptCount val="26"/>
                <c:pt idx="0">
                  <c:v>0.66637401916960248</c:v>
                </c:pt>
                <c:pt idx="1">
                  <c:v>0.57329654812921682</c:v>
                </c:pt>
                <c:pt idx="2">
                  <c:v>0.56384134070494929</c:v>
                </c:pt>
                <c:pt idx="3">
                  <c:v>0.54610781157435184</c:v>
                </c:pt>
                <c:pt idx="4">
                  <c:v>0.54300628486724856</c:v>
                </c:pt>
                <c:pt idx="5">
                  <c:v>0.53590857723204355</c:v>
                </c:pt>
                <c:pt idx="6">
                  <c:v>0.52886746048742128</c:v>
                </c:pt>
                <c:pt idx="7">
                  <c:v>0.525918294004738</c:v>
                </c:pt>
                <c:pt idx="8">
                  <c:v>0.50324924199420051</c:v>
                </c:pt>
                <c:pt idx="9">
                  <c:v>0.49818226733460824</c:v>
                </c:pt>
                <c:pt idx="10">
                  <c:v>0.49704858171685429</c:v>
                </c:pt>
                <c:pt idx="11">
                  <c:v>0.49149843377520114</c:v>
                </c:pt>
                <c:pt idx="12">
                  <c:v>0.48874198272770658</c:v>
                </c:pt>
                <c:pt idx="13">
                  <c:v>0.48077868082161634</c:v>
                </c:pt>
                <c:pt idx="14">
                  <c:v>0.47767397637877512</c:v>
                </c:pt>
                <c:pt idx="15">
                  <c:v>0.47229684463866056</c:v>
                </c:pt>
                <c:pt idx="16">
                  <c:v>0.4688750341693641</c:v>
                </c:pt>
                <c:pt idx="17">
                  <c:v>0.4647114512018537</c:v>
                </c:pt>
                <c:pt idx="18">
                  <c:v>0.46092229568460252</c:v>
                </c:pt>
                <c:pt idx="19">
                  <c:v>0.45139959451365808</c:v>
                </c:pt>
                <c:pt idx="20">
                  <c:v>0.44764885922923847</c:v>
                </c:pt>
                <c:pt idx="21">
                  <c:v>0.44037030531095511</c:v>
                </c:pt>
                <c:pt idx="22">
                  <c:v>0.43888519536502002</c:v>
                </c:pt>
                <c:pt idx="23">
                  <c:v>0.42917980142169798</c:v>
                </c:pt>
                <c:pt idx="24">
                  <c:v>0.41658751653738013</c:v>
                </c:pt>
                <c:pt idx="25">
                  <c:v>0.39200297089696284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CA8-47E4-BE2C-C89A631A34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b"/>
        <c:majorGridlines>
          <c:spPr>
            <a:ln w="9525">
              <a:solidFill>
                <a:srgbClr val="E1E0D9"/>
              </a:solidFill>
              <a:prstDash val="solid"/>
            </a:ln>
          </c:spPr>
        </c:majorGridlines>
        <c:numFmt formatCode="0%" sourceLinked="0"/>
        <c:majorTickMark val="none"/>
        <c:minorTickMark val="none"/>
        <c:tickLblPos val="nextTo"/>
        <c:crossAx val="10"/>
        <c:crosses val="max"/>
        <c:crossBetween val="between"/>
      </c:valAx>
    </c:plotArea>
    <c:plotVisOnly val="1"/>
    <c:dispBlanksAs val="gap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10"/>
  <c:chart>
    <c:title>
      <c:tx>
        <c:rich>
          <a:bodyPr/>
          <a:lstStyle/>
          <a:p>
            <a:pPr>
              <a:defRPr/>
            </a:pPr>
            <a:r>
              <a:t>Dívida consolidada líquida, % da RCL, 2024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'Dados dos gráficos'!$K$3</c:f>
              <c:strCache>
                <c:ptCount val="1"/>
                <c:pt idx="0">
                  <c:v>Dívida consolidada líquida</c:v>
                </c:pt>
              </c:strCache>
            </c:strRef>
          </c:tx>
          <c:spPr>
            <a:solidFill>
              <a:srgbClr val="C3C2B7"/>
            </a:solidFill>
            <a:ln>
              <a:solidFill>
                <a:srgbClr val="C3C2B7"/>
              </a:solidFill>
              <a:prstDash val="solid"/>
            </a:ln>
          </c:spPr>
          <c:invertIfNegative val="0"/>
          <c:dPt>
            <c:idx val="0"/>
            <c:invertIfNegative val="1"/>
            <c:bubble3D val="0"/>
            <c:spPr>
              <a:solidFill>
                <a:srgbClr val="2A78D6"/>
              </a:solidFill>
              <a:ln>
                <a:solidFill>
                  <a:srgbClr val="2A78D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7164-4910-BCD6-0169179231E2}"/>
              </c:ext>
            </c:extLst>
          </c:dPt>
          <c:cat>
            <c:strRef>
              <c:f>'Dados dos gráficos'!$J$4:$J$30</c:f>
              <c:strCache>
                <c:ptCount val="27"/>
                <c:pt idx="0">
                  <c:v>Rio de Janeiro (estado)</c:v>
                </c:pt>
                <c:pt idx="1">
                  <c:v>Rio Grande do Sul</c:v>
                </c:pt>
                <c:pt idx="2">
                  <c:v>Minas Gerais</c:v>
                </c:pt>
                <c:pt idx="3">
                  <c:v>São Paulo</c:v>
                </c:pt>
                <c:pt idx="4">
                  <c:v>Alagoas</c:v>
                </c:pt>
                <c:pt idx="5">
                  <c:v>Piauí</c:v>
                </c:pt>
                <c:pt idx="6">
                  <c:v>Rio Grande do Norte</c:v>
                </c:pt>
                <c:pt idx="7">
                  <c:v>Bahia</c:v>
                </c:pt>
                <c:pt idx="8">
                  <c:v>Ceará</c:v>
                </c:pt>
                <c:pt idx="9">
                  <c:v>Pernambuco</c:v>
                </c:pt>
                <c:pt idx="10">
                  <c:v>Amazonas</c:v>
                </c:pt>
                <c:pt idx="11">
                  <c:v>Santa Catarina</c:v>
                </c:pt>
                <c:pt idx="12">
                  <c:v>Mato Grosso do Sul</c:v>
                </c:pt>
                <c:pt idx="13">
                  <c:v>Goiás</c:v>
                </c:pt>
                <c:pt idx="14">
                  <c:v>Acre</c:v>
                </c:pt>
                <c:pt idx="15">
                  <c:v>Distrito Federal</c:v>
                </c:pt>
                <c:pt idx="16">
                  <c:v>Sergipe</c:v>
                </c:pt>
                <c:pt idx="17">
                  <c:v>Tocantins</c:v>
                </c:pt>
                <c:pt idx="18">
                  <c:v>Roraima</c:v>
                </c:pt>
                <c:pt idx="19">
                  <c:v>Pará</c:v>
                </c:pt>
                <c:pt idx="20">
                  <c:v>Maranhão</c:v>
                </c:pt>
                <c:pt idx="21">
                  <c:v>Rondônia</c:v>
                </c:pt>
                <c:pt idx="22">
                  <c:v>Paraíba</c:v>
                </c:pt>
                <c:pt idx="23">
                  <c:v>Paraná</c:v>
                </c:pt>
                <c:pt idx="24">
                  <c:v>Amapá</c:v>
                </c:pt>
                <c:pt idx="25">
                  <c:v>Espírito Santo</c:v>
                </c:pt>
                <c:pt idx="26">
                  <c:v>Mato Grosso</c:v>
                </c:pt>
              </c:strCache>
            </c:strRef>
          </c:cat>
          <c:val>
            <c:numRef>
              <c:f>'Dados dos gráficos'!$K$4:$K$30</c:f>
              <c:numCache>
                <c:formatCode>0.0%</c:formatCode>
                <c:ptCount val="27"/>
                <c:pt idx="0">
                  <c:v>2.1132</c:v>
                </c:pt>
                <c:pt idx="1">
                  <c:v>1.8467</c:v>
                </c:pt>
                <c:pt idx="2">
                  <c:v>1.6258999999999999</c:v>
                </c:pt>
                <c:pt idx="3">
                  <c:v>1.2655000000000001</c:v>
                </c:pt>
                <c:pt idx="4">
                  <c:v>0.75800000000000001</c:v>
                </c:pt>
                <c:pt idx="5">
                  <c:v>0.62719999999999998</c:v>
                </c:pt>
                <c:pt idx="6">
                  <c:v>0.40179999999999999</c:v>
                </c:pt>
                <c:pt idx="7">
                  <c:v>0.371</c:v>
                </c:pt>
                <c:pt idx="8">
                  <c:v>0.3306</c:v>
                </c:pt>
                <c:pt idx="9">
                  <c:v>0.30070000000000002</c:v>
                </c:pt>
                <c:pt idx="10">
                  <c:v>0.29680000000000001</c:v>
                </c:pt>
                <c:pt idx="11">
                  <c:v>0.28360000000000002</c:v>
                </c:pt>
                <c:pt idx="12">
                  <c:v>0.2475</c:v>
                </c:pt>
                <c:pt idx="13">
                  <c:v>0.2432</c:v>
                </c:pt>
                <c:pt idx="14">
                  <c:v>0.19769999999999999</c:v>
                </c:pt>
                <c:pt idx="15">
                  <c:v>0.13120000000000001</c:v>
                </c:pt>
                <c:pt idx="16">
                  <c:v>0.11559999999999999</c:v>
                </c:pt>
                <c:pt idx="17">
                  <c:v>0.10920000000000001</c:v>
                </c:pt>
                <c:pt idx="18">
                  <c:v>0.1002</c:v>
                </c:pt>
                <c:pt idx="19">
                  <c:v>7.17E-2</c:v>
                </c:pt>
                <c:pt idx="20">
                  <c:v>3.0300000000000001E-2</c:v>
                </c:pt>
                <c:pt idx="21">
                  <c:v>-1.34E-2</c:v>
                </c:pt>
                <c:pt idx="22">
                  <c:v>-2.3699999999999999E-2</c:v>
                </c:pt>
                <c:pt idx="23">
                  <c:v>-5.0700000000000002E-2</c:v>
                </c:pt>
                <c:pt idx="24">
                  <c:v>-6.88E-2</c:v>
                </c:pt>
                <c:pt idx="25">
                  <c:v>-9.7599999999999992E-2</c:v>
                </c:pt>
                <c:pt idx="26">
                  <c:v>-0.14480000000000001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164-4910-BCD6-0169179231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b"/>
        <c:majorGridlines>
          <c:spPr>
            <a:ln w="9525">
              <a:solidFill>
                <a:srgbClr val="E1E0D9"/>
              </a:solidFill>
              <a:prstDash val="solid"/>
            </a:ln>
          </c:spPr>
        </c:majorGridlines>
        <c:numFmt formatCode="0%" sourceLinked="0"/>
        <c:majorTickMark val="none"/>
        <c:minorTickMark val="none"/>
        <c:tickLblPos val="nextTo"/>
        <c:crossAx val="10"/>
        <c:crosses val="max"/>
        <c:crossBetween val="between"/>
      </c:valAx>
    </c:plotArea>
    <c:plotVisOnly val="1"/>
    <c:dispBlanksAs val="gap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</xdr:row>
      <xdr:rowOff>0</xdr:rowOff>
    </xdr:from>
    <xdr:ext cx="6120000" cy="50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11</xdr:col>
      <xdr:colOff>0</xdr:colOff>
      <xdr:row>2</xdr:row>
      <xdr:rowOff>0</xdr:rowOff>
    </xdr:from>
    <xdr:ext cx="6120000" cy="504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</xdr:col>
      <xdr:colOff>0</xdr:colOff>
      <xdr:row>32</xdr:row>
      <xdr:rowOff>0</xdr:rowOff>
    </xdr:from>
    <xdr:ext cx="6120000" cy="504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11</xdr:col>
      <xdr:colOff>0</xdr:colOff>
      <xdr:row>32</xdr:row>
      <xdr:rowOff>0</xdr:rowOff>
    </xdr:from>
    <xdr:ext cx="6120000" cy="504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5"/>
  <sheetViews>
    <sheetView tabSelected="1" workbookViewId="0"/>
  </sheetViews>
  <sheetFormatPr defaultRowHeight="14.3" x14ac:dyDescent="0.25"/>
  <cols>
    <col min="1" max="1" width="120" customWidth="1"/>
  </cols>
  <sheetData>
    <row r="1" spans="1:1" ht="39.950000000000003" x14ac:dyDescent="0.25">
      <c r="A1" s="1" t="s">
        <v>0</v>
      </c>
    </row>
    <row r="2" spans="1:1" x14ac:dyDescent="0.25">
      <c r="A2" s="2"/>
    </row>
    <row r="3" spans="1:1" ht="15.7" x14ac:dyDescent="0.25">
      <c r="A3" s="3" t="s">
        <v>1</v>
      </c>
    </row>
    <row r="4" spans="1:1" ht="45.1" customHeight="1" x14ac:dyDescent="0.25">
      <c r="A4" s="2" t="s">
        <v>2</v>
      </c>
    </row>
    <row r="5" spans="1:1" ht="29.95" customHeight="1" x14ac:dyDescent="0.25">
      <c r="A5" s="2" t="s">
        <v>3</v>
      </c>
    </row>
    <row r="6" spans="1:1" x14ac:dyDescent="0.25">
      <c r="A6" s="2"/>
    </row>
    <row r="7" spans="1:1" ht="15.7" x14ac:dyDescent="0.25">
      <c r="A7" s="3" t="s">
        <v>4</v>
      </c>
    </row>
    <row r="8" spans="1:1" x14ac:dyDescent="0.25">
      <c r="A8" s="2" t="s">
        <v>5</v>
      </c>
    </row>
    <row r="9" spans="1:1" ht="29.95" customHeight="1" x14ac:dyDescent="0.25">
      <c r="A9" s="2" t="s">
        <v>6</v>
      </c>
    </row>
    <row r="10" spans="1:1" x14ac:dyDescent="0.25">
      <c r="A10" s="2" t="s">
        <v>7</v>
      </c>
    </row>
    <row r="11" spans="1:1" x14ac:dyDescent="0.25">
      <c r="A11" s="2"/>
    </row>
    <row r="12" spans="1:1" ht="15.7" x14ac:dyDescent="0.25">
      <c r="A12" s="3" t="s">
        <v>8</v>
      </c>
    </row>
    <row r="13" spans="1:1" x14ac:dyDescent="0.25">
      <c r="A13" s="2" t="s">
        <v>9</v>
      </c>
    </row>
    <row r="14" spans="1:1" x14ac:dyDescent="0.25">
      <c r="A14" s="2" t="s">
        <v>10</v>
      </c>
    </row>
    <row r="15" spans="1:1" x14ac:dyDescent="0.25">
      <c r="A15" s="2" t="s">
        <v>11</v>
      </c>
    </row>
    <row r="16" spans="1:1" x14ac:dyDescent="0.25">
      <c r="A16" s="2" t="s">
        <v>12</v>
      </c>
    </row>
    <row r="17" spans="1:1" x14ac:dyDescent="0.25">
      <c r="A17" s="2" t="s">
        <v>13</v>
      </c>
    </row>
    <row r="18" spans="1:1" x14ac:dyDescent="0.25">
      <c r="A18" s="2"/>
    </row>
    <row r="19" spans="1:1" ht="15.7" x14ac:dyDescent="0.25">
      <c r="A19" s="3" t="s">
        <v>14</v>
      </c>
    </row>
    <row r="20" spans="1:1" ht="29.95" customHeight="1" x14ac:dyDescent="0.25">
      <c r="A20" s="2" t="s">
        <v>15</v>
      </c>
    </row>
    <row r="21" spans="1:1" x14ac:dyDescent="0.25">
      <c r="A21" s="2" t="s">
        <v>16</v>
      </c>
    </row>
    <row r="22" spans="1:1" ht="29.95" customHeight="1" x14ac:dyDescent="0.25">
      <c r="A22" s="2" t="s">
        <v>17</v>
      </c>
    </row>
    <row r="23" spans="1:1" x14ac:dyDescent="0.25">
      <c r="A23" s="2" t="s">
        <v>18</v>
      </c>
    </row>
    <row r="24" spans="1:1" x14ac:dyDescent="0.25">
      <c r="A24" s="2"/>
    </row>
    <row r="25" spans="1:1" ht="15.7" x14ac:dyDescent="0.25">
      <c r="A25" s="3" t="s">
        <v>19</v>
      </c>
    </row>
    <row r="26" spans="1:1" ht="29.95" customHeight="1" x14ac:dyDescent="0.25">
      <c r="A26" s="2" t="s">
        <v>20</v>
      </c>
    </row>
    <row r="27" spans="1:1" x14ac:dyDescent="0.25">
      <c r="A27" s="2" t="s">
        <v>21</v>
      </c>
    </row>
    <row r="28" spans="1:1" x14ac:dyDescent="0.25">
      <c r="A28" s="2"/>
    </row>
    <row r="29" spans="1:1" ht="15.7" x14ac:dyDescent="0.25">
      <c r="A29" s="3" t="s">
        <v>22</v>
      </c>
    </row>
    <row r="30" spans="1:1" ht="29.95" customHeight="1" x14ac:dyDescent="0.25">
      <c r="A30" s="2" t="s">
        <v>23</v>
      </c>
    </row>
    <row r="31" spans="1:1" x14ac:dyDescent="0.25">
      <c r="A31" s="2" t="s">
        <v>24</v>
      </c>
    </row>
    <row r="32" spans="1:1" ht="29.95" customHeight="1" x14ac:dyDescent="0.25">
      <c r="A32" s="2" t="s">
        <v>25</v>
      </c>
    </row>
    <row r="33" spans="1:1" ht="29.95" customHeight="1" x14ac:dyDescent="0.25">
      <c r="A33" s="2" t="s">
        <v>26</v>
      </c>
    </row>
    <row r="34" spans="1:1" x14ac:dyDescent="0.25">
      <c r="A34" s="2" t="s">
        <v>27</v>
      </c>
    </row>
    <row r="35" spans="1:1" x14ac:dyDescent="0.25">
      <c r="A35" s="2" t="s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28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4.3" x14ac:dyDescent="0.25"/>
  <cols>
    <col min="1" max="1" width="28" customWidth="1"/>
    <col min="2" max="2" width="11" customWidth="1"/>
    <col min="3" max="3" width="12" customWidth="1"/>
    <col min="4" max="8" width="17" customWidth="1"/>
    <col min="9" max="14" width="16" customWidth="1"/>
    <col min="15" max="15" width="18" customWidth="1"/>
    <col min="16" max="16" width="16" customWidth="1"/>
    <col min="17" max="17" width="14" customWidth="1"/>
    <col min="18" max="18" width="12" customWidth="1"/>
    <col min="19" max="19" width="14" customWidth="1"/>
    <col min="20" max="20" width="12" customWidth="1"/>
    <col min="21" max="21" width="16" customWidth="1"/>
    <col min="22" max="22" width="9" customWidth="1"/>
    <col min="23" max="25" width="12" customWidth="1"/>
    <col min="26" max="30" width="11" customWidth="1"/>
    <col min="31" max="31" width="60" customWidth="1"/>
  </cols>
  <sheetData>
    <row r="1" spans="1:31" ht="62.05" customHeight="1" x14ac:dyDescent="0.25">
      <c r="A1" s="4" t="s">
        <v>29</v>
      </c>
      <c r="B1" s="4" t="s">
        <v>30</v>
      </c>
      <c r="C1" s="4" t="s">
        <v>31</v>
      </c>
      <c r="D1" s="4" t="s">
        <v>32</v>
      </c>
      <c r="E1" s="4" t="s">
        <v>33</v>
      </c>
      <c r="F1" s="4" t="s">
        <v>34</v>
      </c>
      <c r="G1" s="4" t="s">
        <v>35</v>
      </c>
      <c r="H1" s="4" t="s">
        <v>36</v>
      </c>
      <c r="I1" s="4" t="s">
        <v>37</v>
      </c>
      <c r="J1" s="4" t="s">
        <v>38</v>
      </c>
      <c r="K1" s="4" t="s">
        <v>39</v>
      </c>
      <c r="L1" s="4" t="s">
        <v>40</v>
      </c>
      <c r="M1" s="4" t="s">
        <v>41</v>
      </c>
      <c r="N1" s="4" t="s">
        <v>42</v>
      </c>
      <c r="O1" s="4" t="s">
        <v>43</v>
      </c>
      <c r="P1" s="4" t="s">
        <v>44</v>
      </c>
      <c r="Q1" s="4" t="s">
        <v>45</v>
      </c>
      <c r="R1" s="4" t="s">
        <v>46</v>
      </c>
      <c r="S1" s="4" t="s">
        <v>47</v>
      </c>
      <c r="T1" s="4" t="s">
        <v>48</v>
      </c>
      <c r="U1" s="4" t="s">
        <v>49</v>
      </c>
      <c r="V1" s="4" t="s">
        <v>50</v>
      </c>
      <c r="W1" s="4" t="s">
        <v>51</v>
      </c>
      <c r="X1" s="4" t="s">
        <v>52</v>
      </c>
      <c r="Y1" s="4" t="s">
        <v>53</v>
      </c>
      <c r="Z1" s="4" t="s">
        <v>54</v>
      </c>
      <c r="AA1" s="4" t="s">
        <v>55</v>
      </c>
      <c r="AB1" s="4" t="s">
        <v>56</v>
      </c>
      <c r="AC1" s="4" t="s">
        <v>57</v>
      </c>
      <c r="AD1" s="4" t="s">
        <v>58</v>
      </c>
      <c r="AE1" s="4" t="s">
        <v>59</v>
      </c>
    </row>
    <row r="2" spans="1:31" x14ac:dyDescent="0.25">
      <c r="A2" s="5" t="s">
        <v>60</v>
      </c>
      <c r="B2" s="6" t="s">
        <v>61</v>
      </c>
      <c r="C2" s="7">
        <v>880631</v>
      </c>
      <c r="D2" s="8">
        <v>11345153390.57</v>
      </c>
      <c r="E2" s="8">
        <v>11267054152.08</v>
      </c>
      <c r="F2" s="8">
        <v>11267054152.08</v>
      </c>
      <c r="G2" s="8">
        <v>2084214287.8900001</v>
      </c>
      <c r="H2" s="8">
        <v>10002459245.99</v>
      </c>
      <c r="I2" s="8">
        <v>4678325451.3400002</v>
      </c>
      <c r="J2" s="8">
        <v>168529483.34</v>
      </c>
      <c r="K2" s="8">
        <v>352704760.06999999</v>
      </c>
      <c r="L2" s="8">
        <v>160844008.59</v>
      </c>
      <c r="M2" s="8"/>
      <c r="N2" s="9">
        <v>0.19769999999999999</v>
      </c>
      <c r="O2" s="9">
        <v>2</v>
      </c>
      <c r="P2" s="8">
        <v>341915116.88999999</v>
      </c>
      <c r="Q2" s="10">
        <f t="shared" ref="Q2:Q28" si="0">IFERROR(G2/C2,"")</f>
        <v>2366.7282753957106</v>
      </c>
      <c r="R2" s="11">
        <f t="shared" ref="R2:R28" si="1">IFERROR(G2/F2,"")</f>
        <v>0.18498307186224319</v>
      </c>
      <c r="S2" s="10">
        <f t="shared" ref="S2:S28" si="2">IFERROR(D2/C2,"")</f>
        <v>12882.982078271149</v>
      </c>
      <c r="T2" s="11">
        <f t="shared" ref="T2:T28" si="3">IFERROR(E2/D2,"")</f>
        <v>0.99311607028998694</v>
      </c>
      <c r="U2" s="10">
        <f t="shared" ref="U2:U28" si="4">SUM(I2:M2)</f>
        <v>5360403703.3400002</v>
      </c>
      <c r="V2" s="12">
        <f t="shared" ref="V2:V28" si="5">COUNT(I2:M2)</f>
        <v>4</v>
      </c>
      <c r="W2" s="11">
        <f t="shared" ref="W2:W28" si="6">IFERROR(U2/H2,"")</f>
        <v>0.53590857723204355</v>
      </c>
      <c r="X2" s="11">
        <f t="shared" ref="X2:X28" si="7">IFERROR(I2/H2,"")</f>
        <v>0.46771752188998394</v>
      </c>
      <c r="Y2" s="11">
        <f t="shared" ref="Y2:Y28" si="8">IF(P2="","",IFERROR(P2/D2,""))</f>
        <v>3.0137549058983821E-2</v>
      </c>
      <c r="Z2" s="12">
        <f t="shared" ref="Z2:Z28" si="9">IFERROR(RANK(Q2,Q$2:Q$28),"")</f>
        <v>2</v>
      </c>
      <c r="AA2" s="12">
        <f t="shared" ref="AA2:AA28" si="10">IFERROR(RANK(R2,R$2:R$28),"")</f>
        <v>7</v>
      </c>
      <c r="AB2" s="12">
        <f t="shared" ref="AB2:AB28" si="11">IFERROR(RANK(T2,T$2:T$28),"")</f>
        <v>11</v>
      </c>
      <c r="AC2" s="12">
        <f t="shared" ref="AC2:AC28" si="12">IF(V2&gt;=4,COUNTIFS(V$2:V$28,"&gt;=4",W$2:W$28,"&gt;"&amp;W2)+1,"n/c")</f>
        <v>6</v>
      </c>
      <c r="AD2" s="12">
        <f t="shared" ref="AD2:AD28" si="13">IFERROR(RANK(N2,N$2:N$28),"")</f>
        <v>15</v>
      </c>
      <c r="AE2" s="5"/>
    </row>
    <row r="3" spans="1:31" x14ac:dyDescent="0.25">
      <c r="A3" s="5" t="s">
        <v>62</v>
      </c>
      <c r="B3" s="6" t="s">
        <v>63</v>
      </c>
      <c r="C3" s="7">
        <v>3220104</v>
      </c>
      <c r="D3" s="8">
        <v>18945024960.040001</v>
      </c>
      <c r="E3" s="8">
        <v>18968612907.669998</v>
      </c>
      <c r="F3" s="8">
        <v>18968612907.669998</v>
      </c>
      <c r="G3" s="8">
        <v>3045997895.75</v>
      </c>
      <c r="H3" s="8">
        <v>16855656906.200001</v>
      </c>
      <c r="I3" s="8">
        <v>6081912333.96</v>
      </c>
      <c r="J3" s="8">
        <v>140555171.22999999</v>
      </c>
      <c r="K3" s="8">
        <v>593054498.61000001</v>
      </c>
      <c r="L3" s="8">
        <v>206334246.36000001</v>
      </c>
      <c r="M3" s="8"/>
      <c r="N3" s="9">
        <v>0.75800000000000001</v>
      </c>
      <c r="O3" s="9">
        <v>2</v>
      </c>
      <c r="P3" s="8">
        <v>162465257.49000001</v>
      </c>
      <c r="Q3" s="10">
        <f t="shared" si="0"/>
        <v>945.93152759972975</v>
      </c>
      <c r="R3" s="11">
        <f t="shared" si="1"/>
        <v>0.16058095078308779</v>
      </c>
      <c r="S3" s="10">
        <f t="shared" si="2"/>
        <v>5883.3581027320861</v>
      </c>
      <c r="T3" s="11">
        <f t="shared" si="3"/>
        <v>1.001245073452252</v>
      </c>
      <c r="U3" s="10">
        <f t="shared" si="4"/>
        <v>7021856250.1599989</v>
      </c>
      <c r="V3" s="12">
        <f t="shared" si="5"/>
        <v>4</v>
      </c>
      <c r="W3" s="11">
        <f t="shared" si="6"/>
        <v>0.41658751653738013</v>
      </c>
      <c r="X3" s="11">
        <f t="shared" si="7"/>
        <v>0.3608232160754824</v>
      </c>
      <c r="Y3" s="11">
        <f t="shared" si="8"/>
        <v>8.5756159114427997E-3</v>
      </c>
      <c r="Z3" s="12">
        <f t="shared" si="9"/>
        <v>14</v>
      </c>
      <c r="AA3" s="12">
        <f t="shared" si="10"/>
        <v>15</v>
      </c>
      <c r="AB3" s="12">
        <f t="shared" si="11"/>
        <v>8</v>
      </c>
      <c r="AC3" s="12">
        <f t="shared" si="12"/>
        <v>25</v>
      </c>
      <c r="AD3" s="12">
        <f t="shared" si="13"/>
        <v>5</v>
      </c>
      <c r="AE3" s="5"/>
    </row>
    <row r="4" spans="1:31" x14ac:dyDescent="0.25">
      <c r="A4" s="5" t="s">
        <v>64</v>
      </c>
      <c r="B4" s="6" t="s">
        <v>65</v>
      </c>
      <c r="C4" s="7">
        <v>802837</v>
      </c>
      <c r="D4" s="8">
        <v>10447763448.139999</v>
      </c>
      <c r="E4" s="8">
        <v>9736292895.7099991</v>
      </c>
      <c r="F4" s="8">
        <v>9736292895.7099991</v>
      </c>
      <c r="G4" s="8">
        <v>2140648440.03</v>
      </c>
      <c r="H4" s="8">
        <v>8857393483.2700005</v>
      </c>
      <c r="I4" s="8">
        <v>3853904262.2199998</v>
      </c>
      <c r="J4" s="8">
        <v>59863095.219999999</v>
      </c>
      <c r="K4" s="8">
        <v>409563474.64999998</v>
      </c>
      <c r="L4" s="8">
        <v>134145724.41</v>
      </c>
      <c r="M4" s="8"/>
      <c r="N4" s="9">
        <v>-6.88E-2</v>
      </c>
      <c r="O4" s="9">
        <v>2</v>
      </c>
      <c r="P4" s="8">
        <v>573303870.46000004</v>
      </c>
      <c r="Q4" s="10">
        <f t="shared" si="0"/>
        <v>2666.3549886589681</v>
      </c>
      <c r="R4" s="11">
        <f t="shared" si="1"/>
        <v>0.21986278175476948</v>
      </c>
      <c r="S4" s="10">
        <f t="shared" si="2"/>
        <v>13013.554990788914</v>
      </c>
      <c r="T4" s="11">
        <f t="shared" si="3"/>
        <v>0.93190211895956909</v>
      </c>
      <c r="U4" s="10">
        <f t="shared" si="4"/>
        <v>4457476556.499999</v>
      </c>
      <c r="V4" s="12">
        <f t="shared" si="5"/>
        <v>4</v>
      </c>
      <c r="W4" s="11">
        <f t="shared" si="6"/>
        <v>0.50324924199420051</v>
      </c>
      <c r="X4" s="11">
        <f t="shared" si="7"/>
        <v>0.43510591118022718</v>
      </c>
      <c r="Y4" s="11">
        <f t="shared" si="8"/>
        <v>5.4873358619357382E-2</v>
      </c>
      <c r="Z4" s="12">
        <f t="shared" si="9"/>
        <v>1</v>
      </c>
      <c r="AA4" s="12">
        <f t="shared" si="10"/>
        <v>2</v>
      </c>
      <c r="AB4" s="12">
        <f t="shared" si="11"/>
        <v>25</v>
      </c>
      <c r="AC4" s="12">
        <f t="shared" si="12"/>
        <v>9</v>
      </c>
      <c r="AD4" s="12">
        <f t="shared" si="13"/>
        <v>25</v>
      </c>
      <c r="AE4" s="5"/>
    </row>
    <row r="5" spans="1:31" x14ac:dyDescent="0.25">
      <c r="A5" s="5" t="s">
        <v>66</v>
      </c>
      <c r="B5" s="6" t="s">
        <v>67</v>
      </c>
      <c r="C5" s="7">
        <v>4281209</v>
      </c>
      <c r="D5" s="8">
        <v>34299095495.130001</v>
      </c>
      <c r="E5" s="8">
        <v>33524114754.330002</v>
      </c>
      <c r="F5" s="8">
        <v>33524114754.330002</v>
      </c>
      <c r="G5" s="8">
        <v>5165597400.0900002</v>
      </c>
      <c r="H5" s="8">
        <v>26423983318.48</v>
      </c>
      <c r="I5" s="8">
        <v>10243519421.27</v>
      </c>
      <c r="J5" s="8">
        <v>327689571.43000001</v>
      </c>
      <c r="K5" s="8">
        <v>931355105.23000002</v>
      </c>
      <c r="L5" s="8">
        <v>326101890.88</v>
      </c>
      <c r="M5" s="8"/>
      <c r="N5" s="9">
        <v>0.29680000000000001</v>
      </c>
      <c r="O5" s="9">
        <v>2</v>
      </c>
      <c r="P5" s="8">
        <v>18596021.34</v>
      </c>
      <c r="Q5" s="10">
        <f t="shared" si="0"/>
        <v>1206.5744513033585</v>
      </c>
      <c r="R5" s="11">
        <f t="shared" si="1"/>
        <v>0.15408601950996506</v>
      </c>
      <c r="S5" s="10">
        <f t="shared" si="2"/>
        <v>8011.544284600448</v>
      </c>
      <c r="T5" s="11">
        <f t="shared" si="3"/>
        <v>0.97740521347246501</v>
      </c>
      <c r="U5" s="10">
        <f t="shared" si="4"/>
        <v>11828665988.809999</v>
      </c>
      <c r="V5" s="12">
        <f t="shared" si="5"/>
        <v>4</v>
      </c>
      <c r="W5" s="11">
        <f t="shared" si="6"/>
        <v>0.44764885922923847</v>
      </c>
      <c r="X5" s="11">
        <f t="shared" si="7"/>
        <v>0.38765992612877731</v>
      </c>
      <c r="Y5" s="11">
        <f t="shared" si="8"/>
        <v>5.421723538639781E-4</v>
      </c>
      <c r="Z5" s="12">
        <f t="shared" si="9"/>
        <v>9</v>
      </c>
      <c r="AA5" s="12">
        <f t="shared" si="10"/>
        <v>17</v>
      </c>
      <c r="AB5" s="12">
        <f t="shared" si="11"/>
        <v>16</v>
      </c>
      <c r="AC5" s="12">
        <f t="shared" si="12"/>
        <v>21</v>
      </c>
      <c r="AD5" s="12">
        <f t="shared" si="13"/>
        <v>11</v>
      </c>
      <c r="AE5" s="5"/>
    </row>
    <row r="6" spans="1:31" x14ac:dyDescent="0.25">
      <c r="A6" s="5" t="s">
        <v>68</v>
      </c>
      <c r="B6" s="6" t="s">
        <v>69</v>
      </c>
      <c r="C6" s="7">
        <v>14850513</v>
      </c>
      <c r="D6" s="8">
        <v>71518231477.960007</v>
      </c>
      <c r="E6" s="8">
        <v>71413980155.869995</v>
      </c>
      <c r="F6" s="8">
        <v>71413980155.869995</v>
      </c>
      <c r="G6" s="8">
        <v>13792693924.209999</v>
      </c>
      <c r="H6" s="8">
        <v>64853815964.769997</v>
      </c>
      <c r="I6" s="8">
        <v>27008463740.779999</v>
      </c>
      <c r="J6" s="8">
        <v>210414420.02000001</v>
      </c>
      <c r="K6" s="8">
        <v>3085109480.25</v>
      </c>
      <c r="L6" s="8">
        <v>876344444.74000001</v>
      </c>
      <c r="M6" s="8"/>
      <c r="N6" s="9">
        <v>0.371</v>
      </c>
      <c r="O6" s="9">
        <v>2</v>
      </c>
      <c r="P6" s="8">
        <v>18300343.129999999</v>
      </c>
      <c r="Q6" s="10">
        <f t="shared" si="0"/>
        <v>928.76885291504743</v>
      </c>
      <c r="R6" s="11">
        <f t="shared" si="1"/>
        <v>0.19313716857827709</v>
      </c>
      <c r="S6" s="10">
        <f t="shared" si="2"/>
        <v>4815.876157137468</v>
      </c>
      <c r="T6" s="11">
        <f t="shared" si="3"/>
        <v>0.99854231124098558</v>
      </c>
      <c r="U6" s="10">
        <f t="shared" si="4"/>
        <v>31180332085.790001</v>
      </c>
      <c r="V6" s="12">
        <f t="shared" si="5"/>
        <v>4</v>
      </c>
      <c r="W6" s="11">
        <f t="shared" si="6"/>
        <v>0.48077868082161634</v>
      </c>
      <c r="X6" s="11">
        <f t="shared" si="7"/>
        <v>0.41645141984322992</v>
      </c>
      <c r="Y6" s="11">
        <f t="shared" si="8"/>
        <v>2.5588360830258608E-4</v>
      </c>
      <c r="Z6" s="12">
        <f t="shared" si="9"/>
        <v>15</v>
      </c>
      <c r="AA6" s="12">
        <f t="shared" si="10"/>
        <v>6</v>
      </c>
      <c r="AB6" s="12">
        <f t="shared" si="11"/>
        <v>10</v>
      </c>
      <c r="AC6" s="12">
        <f t="shared" si="12"/>
        <v>14</v>
      </c>
      <c r="AD6" s="12">
        <f t="shared" si="13"/>
        <v>8</v>
      </c>
      <c r="AE6" s="5"/>
    </row>
    <row r="7" spans="1:31" x14ac:dyDescent="0.25">
      <c r="A7" s="5" t="s">
        <v>70</v>
      </c>
      <c r="B7" s="6" t="s">
        <v>71</v>
      </c>
      <c r="C7" s="7">
        <v>9233656</v>
      </c>
      <c r="D7" s="8">
        <v>39438506525.949997</v>
      </c>
      <c r="E7" s="8">
        <v>40222529935.910004</v>
      </c>
      <c r="F7" s="8">
        <v>40222529935.910004</v>
      </c>
      <c r="G7" s="8">
        <v>6917595845.7600002</v>
      </c>
      <c r="H7" s="8">
        <v>36164440163.059998</v>
      </c>
      <c r="I7" s="8">
        <v>15745937045.719999</v>
      </c>
      <c r="J7" s="8">
        <v>250247973.75999999</v>
      </c>
      <c r="K7" s="8">
        <v>1461918823.5899999</v>
      </c>
      <c r="L7" s="8">
        <v>558378954.25</v>
      </c>
      <c r="M7" s="8"/>
      <c r="N7" s="9">
        <v>0.3306</v>
      </c>
      <c r="O7" s="9">
        <v>2</v>
      </c>
      <c r="P7" s="8">
        <v>140012148.69</v>
      </c>
      <c r="Q7" s="10">
        <f t="shared" si="0"/>
        <v>749.17192559047032</v>
      </c>
      <c r="R7" s="11">
        <f t="shared" si="1"/>
        <v>0.17198311137520184</v>
      </c>
      <c r="S7" s="10">
        <f t="shared" si="2"/>
        <v>4271.1691366832374</v>
      </c>
      <c r="T7" s="11">
        <f t="shared" si="3"/>
        <v>1.0198796424870737</v>
      </c>
      <c r="U7" s="10">
        <f t="shared" si="4"/>
        <v>18016482797.32</v>
      </c>
      <c r="V7" s="12">
        <f t="shared" si="5"/>
        <v>4</v>
      </c>
      <c r="W7" s="11">
        <f t="shared" si="6"/>
        <v>0.49818226733460824</v>
      </c>
      <c r="X7" s="11">
        <f t="shared" si="7"/>
        <v>0.43539833534610095</v>
      </c>
      <c r="Y7" s="11">
        <f t="shared" si="8"/>
        <v>3.5501382030750563E-3</v>
      </c>
      <c r="Z7" s="12">
        <f t="shared" si="9"/>
        <v>23</v>
      </c>
      <c r="AA7" s="12">
        <f t="shared" si="10"/>
        <v>9</v>
      </c>
      <c r="AB7" s="12">
        <f t="shared" si="11"/>
        <v>4</v>
      </c>
      <c r="AC7" s="12">
        <f t="shared" si="12"/>
        <v>10</v>
      </c>
      <c r="AD7" s="12">
        <f t="shared" si="13"/>
        <v>9</v>
      </c>
      <c r="AE7" s="5"/>
    </row>
    <row r="8" spans="1:31" x14ac:dyDescent="0.25">
      <c r="A8" s="5" t="s">
        <v>72</v>
      </c>
      <c r="B8" s="6" t="s">
        <v>73</v>
      </c>
      <c r="C8" s="7">
        <v>2982818</v>
      </c>
      <c r="D8" s="8">
        <v>35629361262.639999</v>
      </c>
      <c r="E8" s="8">
        <v>37165148341.699997</v>
      </c>
      <c r="F8" s="8">
        <v>37165148341.699997</v>
      </c>
      <c r="G8" s="8">
        <v>5228852686.6700001</v>
      </c>
      <c r="H8" s="8">
        <v>35826652617.080002</v>
      </c>
      <c r="I8" s="8">
        <v>14177016338.84</v>
      </c>
      <c r="J8" s="8">
        <v>543454841.69000006</v>
      </c>
      <c r="K8" s="8"/>
      <c r="L8" s="8"/>
      <c r="M8" s="8"/>
      <c r="N8" s="9">
        <v>0.13120000000000001</v>
      </c>
      <c r="O8" s="9">
        <v>2</v>
      </c>
      <c r="P8" s="8">
        <v>149818275.86000001</v>
      </c>
      <c r="Q8" s="10">
        <f t="shared" si="0"/>
        <v>1752.9908585337757</v>
      </c>
      <c r="R8" s="11">
        <f t="shared" si="1"/>
        <v>0.140692366907712</v>
      </c>
      <c r="S8" s="10">
        <f t="shared" si="2"/>
        <v>11944.865983321812</v>
      </c>
      <c r="T8" s="11">
        <f t="shared" si="3"/>
        <v>1.0431045358276008</v>
      </c>
      <c r="U8" s="10">
        <f t="shared" si="4"/>
        <v>14720471180.530001</v>
      </c>
      <c r="V8" s="12">
        <f t="shared" si="5"/>
        <v>2</v>
      </c>
      <c r="W8" s="11">
        <f t="shared" si="6"/>
        <v>0.41088045087171116</v>
      </c>
      <c r="X8" s="11">
        <f t="shared" si="7"/>
        <v>0.39571144115432227</v>
      </c>
      <c r="Y8" s="11">
        <f t="shared" si="8"/>
        <v>4.2049105162346957E-3</v>
      </c>
      <c r="Z8" s="12">
        <f t="shared" si="9"/>
        <v>5</v>
      </c>
      <c r="AA8" s="12">
        <f t="shared" si="10"/>
        <v>19</v>
      </c>
      <c r="AB8" s="12">
        <f t="shared" si="11"/>
        <v>1</v>
      </c>
      <c r="AC8" s="12" t="str">
        <f t="shared" si="12"/>
        <v>n/c</v>
      </c>
      <c r="AD8" s="12">
        <f t="shared" si="13"/>
        <v>16</v>
      </c>
      <c r="AE8" s="5" t="s">
        <v>74</v>
      </c>
    </row>
    <row r="9" spans="1:31" x14ac:dyDescent="0.25">
      <c r="A9" s="5" t="s">
        <v>75</v>
      </c>
      <c r="B9" s="6" t="s">
        <v>76</v>
      </c>
      <c r="C9" s="7">
        <v>4102129</v>
      </c>
      <c r="D9" s="8">
        <v>28814559965.119999</v>
      </c>
      <c r="E9" s="8">
        <v>27810905230.790001</v>
      </c>
      <c r="F9" s="8">
        <v>27927029505.669998</v>
      </c>
      <c r="G9" s="8">
        <v>5157316413.8999996</v>
      </c>
      <c r="H9" s="8">
        <v>26201081254.360001</v>
      </c>
      <c r="I9" s="8">
        <v>9445071057.6499996</v>
      </c>
      <c r="J9" s="8">
        <v>229088645.16</v>
      </c>
      <c r="K9" s="8">
        <v>1174800857.5</v>
      </c>
      <c r="L9" s="8">
        <v>396014289.47000003</v>
      </c>
      <c r="M9" s="8"/>
      <c r="N9" s="9">
        <v>-9.7599999999999992E-2</v>
      </c>
      <c r="O9" s="9">
        <v>2</v>
      </c>
      <c r="P9" s="8">
        <v>129166220.53</v>
      </c>
      <c r="Q9" s="10">
        <f t="shared" si="0"/>
        <v>1257.229212903836</v>
      </c>
      <c r="R9" s="11">
        <f t="shared" si="1"/>
        <v>0.18467114137051041</v>
      </c>
      <c r="S9" s="10">
        <f t="shared" si="2"/>
        <v>7024.2939617744833</v>
      </c>
      <c r="T9" s="11">
        <f t="shared" si="3"/>
        <v>0.96516848650318032</v>
      </c>
      <c r="U9" s="10">
        <f t="shared" si="4"/>
        <v>11244974849.779999</v>
      </c>
      <c r="V9" s="12">
        <f t="shared" si="5"/>
        <v>4</v>
      </c>
      <c r="W9" s="11">
        <f t="shared" si="6"/>
        <v>0.42917980142169798</v>
      </c>
      <c r="X9" s="11">
        <f t="shared" si="7"/>
        <v>0.36048401842493766</v>
      </c>
      <c r="Y9" s="11">
        <f t="shared" si="8"/>
        <v>4.4826719785537456E-3</v>
      </c>
      <c r="Z9" s="12">
        <f t="shared" si="9"/>
        <v>8</v>
      </c>
      <c r="AA9" s="12">
        <f t="shared" si="10"/>
        <v>8</v>
      </c>
      <c r="AB9" s="12">
        <f t="shared" si="11"/>
        <v>19</v>
      </c>
      <c r="AC9" s="12">
        <f t="shared" si="12"/>
        <v>24</v>
      </c>
      <c r="AD9" s="12">
        <f t="shared" si="13"/>
        <v>26</v>
      </c>
      <c r="AE9" s="5"/>
    </row>
    <row r="10" spans="1:31" x14ac:dyDescent="0.25">
      <c r="A10" s="5" t="s">
        <v>77</v>
      </c>
      <c r="B10" s="6" t="s">
        <v>78</v>
      </c>
      <c r="C10" s="7">
        <v>7350483</v>
      </c>
      <c r="D10" s="8">
        <v>44601992497.129997</v>
      </c>
      <c r="E10" s="8">
        <v>42009294789.860001</v>
      </c>
      <c r="F10" s="8">
        <v>42009294789.860001</v>
      </c>
      <c r="G10" s="8">
        <v>5579596646.1800003</v>
      </c>
      <c r="H10" s="8">
        <v>42238430239.419998</v>
      </c>
      <c r="I10" s="8">
        <v>17612043485.389999</v>
      </c>
      <c r="J10" s="8">
        <v>553663684.88</v>
      </c>
      <c r="K10" s="8">
        <v>2066046815.53</v>
      </c>
      <c r="L10" s="8">
        <v>762797858.64999998</v>
      </c>
      <c r="M10" s="8"/>
      <c r="N10" s="9">
        <v>0.2432</v>
      </c>
      <c r="O10" s="9">
        <v>2</v>
      </c>
      <c r="P10" s="8">
        <v>521240278.74000001</v>
      </c>
      <c r="Q10" s="10">
        <f t="shared" si="0"/>
        <v>759.07891307006628</v>
      </c>
      <c r="R10" s="11">
        <f t="shared" si="1"/>
        <v>0.13281814593866442</v>
      </c>
      <c r="S10" s="10">
        <f t="shared" si="2"/>
        <v>6067.8995512444553</v>
      </c>
      <c r="T10" s="11">
        <f t="shared" si="3"/>
        <v>0.94187036134233626</v>
      </c>
      <c r="U10" s="10">
        <f t="shared" si="4"/>
        <v>20994551844.450001</v>
      </c>
      <c r="V10" s="12">
        <f t="shared" si="5"/>
        <v>4</v>
      </c>
      <c r="W10" s="11">
        <f t="shared" si="6"/>
        <v>0.49704858171685429</v>
      </c>
      <c r="X10" s="11">
        <f t="shared" si="7"/>
        <v>0.41696728276973583</v>
      </c>
      <c r="Y10" s="11">
        <f t="shared" si="8"/>
        <v>1.168647967405358E-2</v>
      </c>
      <c r="Z10" s="12">
        <f t="shared" si="9"/>
        <v>22</v>
      </c>
      <c r="AA10" s="12">
        <f t="shared" si="10"/>
        <v>22</v>
      </c>
      <c r="AB10" s="12">
        <f t="shared" si="11"/>
        <v>24</v>
      </c>
      <c r="AC10" s="12">
        <f t="shared" si="12"/>
        <v>11</v>
      </c>
      <c r="AD10" s="12">
        <f t="shared" si="13"/>
        <v>14</v>
      </c>
      <c r="AE10" s="5"/>
    </row>
    <row r="11" spans="1:31" x14ac:dyDescent="0.25">
      <c r="A11" s="5" t="s">
        <v>79</v>
      </c>
      <c r="B11" s="6" t="s">
        <v>80</v>
      </c>
      <c r="C11" s="7">
        <v>7010960</v>
      </c>
      <c r="D11" s="8">
        <v>31127179900.509998</v>
      </c>
      <c r="E11" s="8">
        <v>28216422580.900002</v>
      </c>
      <c r="F11" s="8">
        <v>28216422580.900002</v>
      </c>
      <c r="G11" s="8">
        <v>4804534042.75</v>
      </c>
      <c r="H11" s="8">
        <v>29521762934.73</v>
      </c>
      <c r="I11" s="8">
        <v>9163249776.5200005</v>
      </c>
      <c r="J11" s="8">
        <v>521834109.44</v>
      </c>
      <c r="K11" s="8">
        <v>1340952368.5799999</v>
      </c>
      <c r="L11" s="8">
        <v>546582521.99000001</v>
      </c>
      <c r="M11" s="8"/>
      <c r="N11" s="9">
        <v>3.0300000000000001E-2</v>
      </c>
      <c r="O11" s="9">
        <v>2</v>
      </c>
      <c r="P11" s="8">
        <v>211404044.93000001</v>
      </c>
      <c r="Q11" s="10">
        <f t="shared" si="0"/>
        <v>685.28903926851672</v>
      </c>
      <c r="R11" s="11">
        <f t="shared" si="1"/>
        <v>0.17027438644905468</v>
      </c>
      <c r="S11" s="10">
        <f t="shared" si="2"/>
        <v>4439.788545436003</v>
      </c>
      <c r="T11" s="11">
        <f t="shared" si="3"/>
        <v>0.90648824182230825</v>
      </c>
      <c r="U11" s="10">
        <f t="shared" si="4"/>
        <v>11572618776.530001</v>
      </c>
      <c r="V11" s="12">
        <f t="shared" si="5"/>
        <v>4</v>
      </c>
      <c r="W11" s="11">
        <f t="shared" si="6"/>
        <v>0.39200297089696284</v>
      </c>
      <c r="X11" s="11">
        <f t="shared" si="7"/>
        <v>0.3103896537879236</v>
      </c>
      <c r="Y11" s="11">
        <f t="shared" si="8"/>
        <v>6.7916221644780707E-3</v>
      </c>
      <c r="Z11" s="12">
        <f t="shared" si="9"/>
        <v>24</v>
      </c>
      <c r="AA11" s="12">
        <f t="shared" si="10"/>
        <v>10</v>
      </c>
      <c r="AB11" s="12">
        <f t="shared" si="11"/>
        <v>27</v>
      </c>
      <c r="AC11" s="12">
        <f t="shared" si="12"/>
        <v>26</v>
      </c>
      <c r="AD11" s="12">
        <f t="shared" si="13"/>
        <v>21</v>
      </c>
      <c r="AE11" s="5"/>
    </row>
    <row r="12" spans="1:31" x14ac:dyDescent="0.25">
      <c r="A12" s="5" t="s">
        <v>81</v>
      </c>
      <c r="B12" s="6" t="s">
        <v>82</v>
      </c>
      <c r="C12" s="7">
        <v>3836399</v>
      </c>
      <c r="D12" s="8">
        <v>36117367824.220001</v>
      </c>
      <c r="E12" s="8">
        <v>36264462941.989998</v>
      </c>
      <c r="F12" s="8">
        <v>36264462941.989998</v>
      </c>
      <c r="G12" s="8">
        <v>4257586990.8400002</v>
      </c>
      <c r="H12" s="8">
        <v>32886763926.200001</v>
      </c>
      <c r="I12" s="8">
        <v>12425266338.18</v>
      </c>
      <c r="J12" s="8">
        <v>430928669.99000001</v>
      </c>
      <c r="K12" s="8">
        <v>1171508380.23</v>
      </c>
      <c r="L12" s="8">
        <v>454650882.47000003</v>
      </c>
      <c r="M12" s="8"/>
      <c r="N12" s="9">
        <v>-0.14480000000000001</v>
      </c>
      <c r="O12" s="9">
        <v>2</v>
      </c>
      <c r="P12" s="8">
        <v>371329007.04000002</v>
      </c>
      <c r="Q12" s="10">
        <f t="shared" si="0"/>
        <v>1109.7873268239305</v>
      </c>
      <c r="R12" s="11">
        <f t="shared" si="1"/>
        <v>0.11740383409649818</v>
      </c>
      <c r="S12" s="10">
        <f t="shared" si="2"/>
        <v>9414.3929826433596</v>
      </c>
      <c r="T12" s="11">
        <f t="shared" si="3"/>
        <v>1.0040726976142307</v>
      </c>
      <c r="U12" s="10">
        <f t="shared" si="4"/>
        <v>14482354270.869999</v>
      </c>
      <c r="V12" s="12">
        <f t="shared" si="5"/>
        <v>4</v>
      </c>
      <c r="W12" s="11">
        <f t="shared" si="6"/>
        <v>0.44037030531095511</v>
      </c>
      <c r="X12" s="11">
        <f t="shared" si="7"/>
        <v>0.37781967134446831</v>
      </c>
      <c r="Y12" s="11">
        <f t="shared" si="8"/>
        <v>1.0281175772476695E-2</v>
      </c>
      <c r="Z12" s="12">
        <f t="shared" si="9"/>
        <v>10</v>
      </c>
      <c r="AA12" s="12">
        <f t="shared" si="10"/>
        <v>24</v>
      </c>
      <c r="AB12" s="12">
        <f t="shared" si="11"/>
        <v>6</v>
      </c>
      <c r="AC12" s="12">
        <f t="shared" si="12"/>
        <v>22</v>
      </c>
      <c r="AD12" s="12">
        <f t="shared" si="13"/>
        <v>27</v>
      </c>
      <c r="AE12" s="5"/>
    </row>
    <row r="13" spans="1:31" x14ac:dyDescent="0.25">
      <c r="A13" s="5" t="s">
        <v>83</v>
      </c>
      <c r="B13" s="6" t="s">
        <v>84</v>
      </c>
      <c r="C13" s="7">
        <v>2901895</v>
      </c>
      <c r="D13" s="8">
        <v>22126096515.889999</v>
      </c>
      <c r="E13" s="8">
        <v>22929791107.970001</v>
      </c>
      <c r="F13" s="8">
        <v>22929791107.970001</v>
      </c>
      <c r="G13" s="8">
        <v>2645360852.9200001</v>
      </c>
      <c r="H13" s="8">
        <v>20253127266.59</v>
      </c>
      <c r="I13" s="8">
        <v>9153718882.9400005</v>
      </c>
      <c r="J13" s="8">
        <v>216484563.88999999</v>
      </c>
      <c r="K13" s="8">
        <v>1036951064.46</v>
      </c>
      <c r="L13" s="8">
        <v>304065473.12</v>
      </c>
      <c r="M13" s="8"/>
      <c r="N13" s="9">
        <v>0.2475</v>
      </c>
      <c r="O13" s="9">
        <v>2.00759916928437</v>
      </c>
      <c r="P13" s="8">
        <v>40038018.57</v>
      </c>
      <c r="Q13" s="10">
        <f t="shared" si="0"/>
        <v>911.59771560308013</v>
      </c>
      <c r="R13" s="11">
        <f t="shared" si="1"/>
        <v>0.1153678566221442</v>
      </c>
      <c r="S13" s="10">
        <f t="shared" si="2"/>
        <v>7624.7061026984093</v>
      </c>
      <c r="T13" s="11">
        <f t="shared" si="3"/>
        <v>1.0363233791149209</v>
      </c>
      <c r="U13" s="10">
        <f t="shared" si="4"/>
        <v>10711219984.410002</v>
      </c>
      <c r="V13" s="12">
        <f t="shared" si="5"/>
        <v>4</v>
      </c>
      <c r="W13" s="11">
        <f t="shared" si="6"/>
        <v>0.52886746048742128</v>
      </c>
      <c r="X13" s="11">
        <f t="shared" si="7"/>
        <v>0.45196570200989034</v>
      </c>
      <c r="Y13" s="11">
        <f t="shared" si="8"/>
        <v>1.8095382771762944E-3</v>
      </c>
      <c r="Z13" s="12">
        <f t="shared" si="9"/>
        <v>17</v>
      </c>
      <c r="AA13" s="12">
        <f t="shared" si="10"/>
        <v>26</v>
      </c>
      <c r="AB13" s="12">
        <f t="shared" si="11"/>
        <v>2</v>
      </c>
      <c r="AC13" s="12">
        <f t="shared" si="12"/>
        <v>7</v>
      </c>
      <c r="AD13" s="12">
        <f t="shared" si="13"/>
        <v>13</v>
      </c>
      <c r="AE13" s="5"/>
    </row>
    <row r="14" spans="1:31" x14ac:dyDescent="0.25">
      <c r="A14" s="5" t="s">
        <v>85</v>
      </c>
      <c r="B14" s="6" t="s">
        <v>86</v>
      </c>
      <c r="C14" s="7">
        <v>21322691</v>
      </c>
      <c r="D14" s="8">
        <v>111987208007.35001</v>
      </c>
      <c r="E14" s="8">
        <v>106717021386.34</v>
      </c>
      <c r="F14" s="8">
        <v>106717021386.34</v>
      </c>
      <c r="G14" s="8">
        <v>14220754003.9</v>
      </c>
      <c r="H14" s="8">
        <v>103465726489.95</v>
      </c>
      <c r="I14" s="8">
        <v>50492145171.779999</v>
      </c>
      <c r="J14" s="8">
        <v>1407097842.6099999</v>
      </c>
      <c r="K14" s="8">
        <v>5631799198.25</v>
      </c>
      <c r="L14" s="8">
        <v>1785501633.73</v>
      </c>
      <c r="M14" s="8"/>
      <c r="N14" s="9">
        <v>1.6258999999999999</v>
      </c>
      <c r="O14" s="9">
        <v>2</v>
      </c>
      <c r="P14" s="8">
        <v>7438729516.6000004</v>
      </c>
      <c r="Q14" s="10">
        <f t="shared" si="0"/>
        <v>666.93054848940028</v>
      </c>
      <c r="R14" s="11">
        <f t="shared" si="1"/>
        <v>0.13325666158182603</v>
      </c>
      <c r="S14" s="10">
        <f t="shared" si="2"/>
        <v>5252.0203949562465</v>
      </c>
      <c r="T14" s="11">
        <f t="shared" si="3"/>
        <v>0.95293938732123662</v>
      </c>
      <c r="U14" s="10">
        <f t="shared" si="4"/>
        <v>59316543846.370003</v>
      </c>
      <c r="V14" s="12">
        <f t="shared" si="5"/>
        <v>4</v>
      </c>
      <c r="W14" s="11">
        <f t="shared" si="6"/>
        <v>0.57329654812921682</v>
      </c>
      <c r="X14" s="11">
        <f t="shared" si="7"/>
        <v>0.48800841481245949</v>
      </c>
      <c r="Y14" s="11">
        <f t="shared" si="8"/>
        <v>6.6424814485166711E-2</v>
      </c>
      <c r="Z14" s="12">
        <f t="shared" si="9"/>
        <v>26</v>
      </c>
      <c r="AA14" s="12">
        <f t="shared" si="10"/>
        <v>20</v>
      </c>
      <c r="AB14" s="12">
        <f t="shared" si="11"/>
        <v>21</v>
      </c>
      <c r="AC14" s="12">
        <f t="shared" si="12"/>
        <v>2</v>
      </c>
      <c r="AD14" s="12">
        <f t="shared" si="13"/>
        <v>3</v>
      </c>
      <c r="AE14" s="5"/>
    </row>
    <row r="15" spans="1:31" x14ac:dyDescent="0.25">
      <c r="A15" s="5" t="s">
        <v>87</v>
      </c>
      <c r="B15" s="6" t="s">
        <v>88</v>
      </c>
      <c r="C15" s="7">
        <v>11824665</v>
      </c>
      <c r="D15" s="8">
        <v>70236705706.639999</v>
      </c>
      <c r="E15" s="8">
        <v>69520200287.910004</v>
      </c>
      <c r="F15" s="8">
        <v>69829373516.770004</v>
      </c>
      <c r="G15" s="8">
        <v>9282583831.5400009</v>
      </c>
      <c r="H15" s="8">
        <v>66084616647.010002</v>
      </c>
      <c r="I15" s="8">
        <v>28222023933.459999</v>
      </c>
      <c r="J15" s="8">
        <v>561514191.78999996</v>
      </c>
      <c r="K15" s="8">
        <v>2705150632.1799998</v>
      </c>
      <c r="L15" s="8">
        <v>991796821.21000004</v>
      </c>
      <c r="M15" s="8"/>
      <c r="N15" s="9">
        <v>-5.0700000000000002E-2</v>
      </c>
      <c r="O15" s="9">
        <v>2</v>
      </c>
      <c r="P15" s="8">
        <v>1119200736.55</v>
      </c>
      <c r="Q15" s="10">
        <f t="shared" si="0"/>
        <v>785.01875795551086</v>
      </c>
      <c r="R15" s="11">
        <f t="shared" si="1"/>
        <v>0.13293236590917895</v>
      </c>
      <c r="S15" s="10">
        <f t="shared" si="2"/>
        <v>5939.847404272341</v>
      </c>
      <c r="T15" s="11">
        <f t="shared" si="3"/>
        <v>0.98979870408896098</v>
      </c>
      <c r="U15" s="10">
        <f t="shared" si="4"/>
        <v>32480485578.639999</v>
      </c>
      <c r="V15" s="12">
        <f t="shared" si="5"/>
        <v>4</v>
      </c>
      <c r="W15" s="11">
        <f t="shared" si="6"/>
        <v>0.49149843377520114</v>
      </c>
      <c r="X15" s="11">
        <f t="shared" si="7"/>
        <v>0.42705890365086813</v>
      </c>
      <c r="Y15" s="11">
        <f t="shared" si="8"/>
        <v>1.593469860651784E-2</v>
      </c>
      <c r="Z15" s="12">
        <f t="shared" si="9"/>
        <v>20</v>
      </c>
      <c r="AA15" s="12">
        <f t="shared" si="10"/>
        <v>21</v>
      </c>
      <c r="AB15" s="12">
        <f t="shared" si="11"/>
        <v>12</v>
      </c>
      <c r="AC15" s="12">
        <f t="shared" si="12"/>
        <v>12</v>
      </c>
      <c r="AD15" s="12">
        <f t="shared" si="13"/>
        <v>24</v>
      </c>
      <c r="AE15" s="5"/>
    </row>
    <row r="16" spans="1:31" x14ac:dyDescent="0.25">
      <c r="A16" s="5" t="s">
        <v>89</v>
      </c>
      <c r="B16" s="6" t="s">
        <v>90</v>
      </c>
      <c r="C16" s="7">
        <v>4145040</v>
      </c>
      <c r="D16" s="8">
        <v>20348822323.529999</v>
      </c>
      <c r="E16" s="8">
        <v>19223056026.57</v>
      </c>
      <c r="F16" s="8">
        <v>19223056026.57</v>
      </c>
      <c r="G16" s="8">
        <v>3173187498.9699998</v>
      </c>
      <c r="H16" s="8">
        <v>18892082702.400002</v>
      </c>
      <c r="I16" s="8">
        <v>9119064123.7199993</v>
      </c>
      <c r="J16" s="8">
        <v>363256636.42000002</v>
      </c>
      <c r="K16" s="8">
        <v>841032743.69000006</v>
      </c>
      <c r="L16" s="8">
        <v>328783735.80000001</v>
      </c>
      <c r="M16" s="8"/>
      <c r="N16" s="9">
        <v>-2.3699999999999999E-2</v>
      </c>
      <c r="O16" s="9">
        <v>2</v>
      </c>
      <c r="P16" s="8">
        <v>265378204.69999999</v>
      </c>
      <c r="Q16" s="10">
        <f t="shared" si="0"/>
        <v>765.53845052641225</v>
      </c>
      <c r="R16" s="11">
        <f t="shared" si="1"/>
        <v>0.16507195809990036</v>
      </c>
      <c r="S16" s="10">
        <f t="shared" si="2"/>
        <v>4909.1980592539512</v>
      </c>
      <c r="T16" s="11">
        <f t="shared" si="3"/>
        <v>0.94467658722154946</v>
      </c>
      <c r="U16" s="10">
        <f t="shared" si="4"/>
        <v>10652137239.629999</v>
      </c>
      <c r="V16" s="12">
        <f t="shared" si="5"/>
        <v>4</v>
      </c>
      <c r="W16" s="11">
        <f t="shared" si="6"/>
        <v>0.56384134070494929</v>
      </c>
      <c r="X16" s="11">
        <f t="shared" si="7"/>
        <v>0.48269236734611248</v>
      </c>
      <c r="Y16" s="11">
        <f t="shared" si="8"/>
        <v>1.3041452742605876E-2</v>
      </c>
      <c r="Z16" s="12">
        <f t="shared" si="9"/>
        <v>21</v>
      </c>
      <c r="AA16" s="12">
        <f t="shared" si="10"/>
        <v>11</v>
      </c>
      <c r="AB16" s="12">
        <f t="shared" si="11"/>
        <v>22</v>
      </c>
      <c r="AC16" s="12">
        <f t="shared" si="12"/>
        <v>3</v>
      </c>
      <c r="AD16" s="12">
        <f t="shared" si="13"/>
        <v>23</v>
      </c>
      <c r="AE16" s="5"/>
    </row>
    <row r="17" spans="1:31" x14ac:dyDescent="0.25">
      <c r="A17" s="5" t="s">
        <v>91</v>
      </c>
      <c r="B17" s="6" t="s">
        <v>92</v>
      </c>
      <c r="C17" s="7">
        <v>8664306</v>
      </c>
      <c r="D17" s="8">
        <v>45431435974.709999</v>
      </c>
      <c r="E17" s="8">
        <v>44943282229.050003</v>
      </c>
      <c r="F17" s="8">
        <v>44943282229.050003</v>
      </c>
      <c r="G17" s="8">
        <v>5904462167.1999998</v>
      </c>
      <c r="H17" s="8">
        <v>40972569817.110001</v>
      </c>
      <c r="I17" s="8">
        <v>16615520322.16</v>
      </c>
      <c r="J17" s="8">
        <v>20292473.739999998</v>
      </c>
      <c r="K17" s="8">
        <v>1588545130.6099999</v>
      </c>
      <c r="L17" s="8">
        <v>660813013.69000006</v>
      </c>
      <c r="M17" s="8"/>
      <c r="N17" s="9">
        <v>7.17E-2</v>
      </c>
      <c r="O17" s="9">
        <v>2</v>
      </c>
      <c r="P17" s="8">
        <v>90624091.109999999</v>
      </c>
      <c r="Q17" s="10">
        <f t="shared" si="0"/>
        <v>681.46971808244075</v>
      </c>
      <c r="R17" s="11">
        <f t="shared" si="1"/>
        <v>0.13137585584222264</v>
      </c>
      <c r="S17" s="10">
        <f t="shared" si="2"/>
        <v>5243.5170196793606</v>
      </c>
      <c r="T17" s="11">
        <f t="shared" si="3"/>
        <v>0.98925515482425574</v>
      </c>
      <c r="U17" s="10">
        <f t="shared" si="4"/>
        <v>18885170940.199997</v>
      </c>
      <c r="V17" s="12">
        <f t="shared" si="5"/>
        <v>4</v>
      </c>
      <c r="W17" s="11">
        <f t="shared" si="6"/>
        <v>0.46092229568460252</v>
      </c>
      <c r="X17" s="11">
        <f t="shared" si="7"/>
        <v>0.40552790309045778</v>
      </c>
      <c r="Y17" s="11">
        <f t="shared" si="8"/>
        <v>1.9947441494133507E-3</v>
      </c>
      <c r="Z17" s="12">
        <f t="shared" si="9"/>
        <v>25</v>
      </c>
      <c r="AA17" s="12">
        <f t="shared" si="10"/>
        <v>23</v>
      </c>
      <c r="AB17" s="12">
        <f t="shared" si="11"/>
        <v>13</v>
      </c>
      <c r="AC17" s="12">
        <f t="shared" si="12"/>
        <v>19</v>
      </c>
      <c r="AD17" s="12">
        <f t="shared" si="13"/>
        <v>20</v>
      </c>
      <c r="AE17" s="5"/>
    </row>
    <row r="18" spans="1:31" x14ac:dyDescent="0.25">
      <c r="A18" s="5" t="s">
        <v>93</v>
      </c>
      <c r="B18" s="6" t="s">
        <v>94</v>
      </c>
      <c r="C18" s="7">
        <v>9539029</v>
      </c>
      <c r="D18" s="8">
        <v>46828306844.309998</v>
      </c>
      <c r="E18" s="8">
        <v>45920118410.059998</v>
      </c>
      <c r="F18" s="8">
        <v>46173592083.620003</v>
      </c>
      <c r="G18" s="8">
        <v>9616150895.0599995</v>
      </c>
      <c r="H18" s="8">
        <v>43773481815.449997</v>
      </c>
      <c r="I18" s="8">
        <v>17749249738.52</v>
      </c>
      <c r="J18" s="8">
        <v>532132243.13</v>
      </c>
      <c r="K18" s="8">
        <v>1976401094.95</v>
      </c>
      <c r="L18" s="8">
        <v>651670042.13</v>
      </c>
      <c r="M18" s="8"/>
      <c r="N18" s="9">
        <v>0.30070000000000002</v>
      </c>
      <c r="O18" s="9">
        <v>2</v>
      </c>
      <c r="P18" s="8">
        <v>172829646.49000001</v>
      </c>
      <c r="Q18" s="10">
        <f t="shared" si="0"/>
        <v>1008.084878980869</v>
      </c>
      <c r="R18" s="11">
        <f t="shared" si="1"/>
        <v>0.20826083614298901</v>
      </c>
      <c r="S18" s="10">
        <f t="shared" si="2"/>
        <v>4909.1272124563202</v>
      </c>
      <c r="T18" s="11">
        <f t="shared" si="3"/>
        <v>0.98060599463334319</v>
      </c>
      <c r="U18" s="10">
        <f t="shared" si="4"/>
        <v>20909453118.730003</v>
      </c>
      <c r="V18" s="12">
        <f t="shared" si="5"/>
        <v>4</v>
      </c>
      <c r="W18" s="11">
        <f t="shared" si="6"/>
        <v>0.47767397637877512</v>
      </c>
      <c r="X18" s="11">
        <f t="shared" si="7"/>
        <v>0.40547950499691215</v>
      </c>
      <c r="Y18" s="11">
        <f t="shared" si="8"/>
        <v>3.6907088497691466E-3</v>
      </c>
      <c r="Z18" s="12">
        <f t="shared" si="9"/>
        <v>11</v>
      </c>
      <c r="AA18" s="12">
        <f t="shared" si="10"/>
        <v>3</v>
      </c>
      <c r="AB18" s="12">
        <f t="shared" si="11"/>
        <v>15</v>
      </c>
      <c r="AC18" s="12">
        <f t="shared" si="12"/>
        <v>15</v>
      </c>
      <c r="AD18" s="12">
        <f t="shared" si="13"/>
        <v>10</v>
      </c>
      <c r="AE18" s="5"/>
    </row>
    <row r="19" spans="1:31" x14ac:dyDescent="0.25">
      <c r="A19" s="5" t="s">
        <v>95</v>
      </c>
      <c r="B19" s="6" t="s">
        <v>96</v>
      </c>
      <c r="C19" s="7">
        <v>3375646</v>
      </c>
      <c r="D19" s="8">
        <v>20493868514.200001</v>
      </c>
      <c r="E19" s="8">
        <v>20903831504.23</v>
      </c>
      <c r="F19" s="8">
        <v>20903831504.23</v>
      </c>
      <c r="G19" s="8">
        <v>3383921681.75</v>
      </c>
      <c r="H19" s="8">
        <v>17101669200.120001</v>
      </c>
      <c r="I19" s="8">
        <v>7124416506.1400003</v>
      </c>
      <c r="J19" s="8">
        <v>355647830.29000002</v>
      </c>
      <c r="K19" s="8">
        <v>654082202.88999999</v>
      </c>
      <c r="L19" s="8">
        <v>224157173.5</v>
      </c>
      <c r="M19" s="8"/>
      <c r="N19" s="9">
        <v>0.62719999999999998</v>
      </c>
      <c r="O19" s="9">
        <v>2.0044339010970451</v>
      </c>
      <c r="P19" s="8">
        <v>484627445.93000001</v>
      </c>
      <c r="Q19" s="10">
        <f t="shared" si="0"/>
        <v>1002.4515846003994</v>
      </c>
      <c r="R19" s="11">
        <f t="shared" si="1"/>
        <v>0.16188045148877353</v>
      </c>
      <c r="S19" s="10">
        <f t="shared" si="2"/>
        <v>6071.0952849321284</v>
      </c>
      <c r="T19" s="11">
        <f t="shared" si="3"/>
        <v>1.0200041778225493</v>
      </c>
      <c r="U19" s="10">
        <f t="shared" si="4"/>
        <v>8358303712.8200006</v>
      </c>
      <c r="V19" s="12">
        <f t="shared" si="5"/>
        <v>4</v>
      </c>
      <c r="W19" s="11">
        <f t="shared" si="6"/>
        <v>0.48874198272770658</v>
      </c>
      <c r="X19" s="11">
        <f t="shared" si="7"/>
        <v>0.41659187900149591</v>
      </c>
      <c r="Y19" s="11">
        <f t="shared" si="8"/>
        <v>2.3647436090175285E-2</v>
      </c>
      <c r="Z19" s="12">
        <f t="shared" si="9"/>
        <v>12</v>
      </c>
      <c r="AA19" s="12">
        <f t="shared" si="10"/>
        <v>14</v>
      </c>
      <c r="AB19" s="12">
        <f t="shared" si="11"/>
        <v>3</v>
      </c>
      <c r="AC19" s="12">
        <f t="shared" si="12"/>
        <v>13</v>
      </c>
      <c r="AD19" s="12">
        <f t="shared" si="13"/>
        <v>6</v>
      </c>
      <c r="AE19" s="5"/>
    </row>
    <row r="20" spans="1:31" x14ac:dyDescent="0.25">
      <c r="A20" s="5" t="s">
        <v>97</v>
      </c>
      <c r="B20" s="6" t="s">
        <v>98</v>
      </c>
      <c r="C20" s="7">
        <v>3446071</v>
      </c>
      <c r="D20" s="8">
        <v>19085896138.209999</v>
      </c>
      <c r="E20" s="8">
        <v>19141439984.09</v>
      </c>
      <c r="F20" s="8">
        <v>19141439984.09</v>
      </c>
      <c r="G20" s="8">
        <v>2782768197.3299999</v>
      </c>
      <c r="H20" s="8">
        <v>17233040024.580002</v>
      </c>
      <c r="I20" s="8">
        <v>9919747911.8500004</v>
      </c>
      <c r="J20" s="8">
        <v>369391270.23000002</v>
      </c>
      <c r="K20" s="8">
        <v>895804527.37</v>
      </c>
      <c r="L20" s="8">
        <v>298706434.24000001</v>
      </c>
      <c r="M20" s="8"/>
      <c r="N20" s="9">
        <v>0.40179999999999999</v>
      </c>
      <c r="O20" s="9">
        <v>2</v>
      </c>
      <c r="P20" s="8">
        <v>318447031.86000001</v>
      </c>
      <c r="Q20" s="10">
        <f t="shared" si="0"/>
        <v>807.51911302175722</v>
      </c>
      <c r="R20" s="11">
        <f t="shared" si="1"/>
        <v>0.14537925044526345</v>
      </c>
      <c r="S20" s="10">
        <f t="shared" si="2"/>
        <v>5538.4512211762321</v>
      </c>
      <c r="T20" s="11">
        <f t="shared" si="3"/>
        <v>1.0029102037168065</v>
      </c>
      <c r="U20" s="10">
        <f t="shared" si="4"/>
        <v>11483650143.690001</v>
      </c>
      <c r="V20" s="12">
        <f t="shared" si="5"/>
        <v>4</v>
      </c>
      <c r="W20" s="11">
        <f t="shared" si="6"/>
        <v>0.66637401916960248</v>
      </c>
      <c r="X20" s="11">
        <f t="shared" si="7"/>
        <v>0.57562379578421252</v>
      </c>
      <c r="Y20" s="11">
        <f t="shared" si="8"/>
        <v>1.6684939997261564E-2</v>
      </c>
      <c r="Z20" s="12">
        <f t="shared" si="9"/>
        <v>19</v>
      </c>
      <c r="AA20" s="12">
        <f t="shared" si="10"/>
        <v>18</v>
      </c>
      <c r="AB20" s="12">
        <f t="shared" si="11"/>
        <v>7</v>
      </c>
      <c r="AC20" s="12">
        <f t="shared" si="12"/>
        <v>1</v>
      </c>
      <c r="AD20" s="12">
        <f t="shared" si="13"/>
        <v>7</v>
      </c>
      <c r="AE20" s="5"/>
    </row>
    <row r="21" spans="1:31" x14ac:dyDescent="0.25">
      <c r="A21" s="5" t="s">
        <v>99</v>
      </c>
      <c r="B21" s="6" t="s">
        <v>100</v>
      </c>
      <c r="C21" s="7">
        <v>11229915</v>
      </c>
      <c r="D21" s="8">
        <v>65575024545.870003</v>
      </c>
      <c r="E21" s="8">
        <v>64739368814.790001</v>
      </c>
      <c r="F21" s="8">
        <v>64739368814.790001</v>
      </c>
      <c r="G21" s="8">
        <v>10391063134.040001</v>
      </c>
      <c r="H21" s="8">
        <v>59796150334.349998</v>
      </c>
      <c r="I21" s="8">
        <v>26144703960.299999</v>
      </c>
      <c r="J21" s="8">
        <v>537383850.19000006</v>
      </c>
      <c r="K21" s="8">
        <v>31741695.550000001</v>
      </c>
      <c r="L21" s="8">
        <v>1074126292.1199999</v>
      </c>
      <c r="M21" s="8"/>
      <c r="N21" s="9">
        <v>1.8467</v>
      </c>
      <c r="O21" s="9">
        <v>2</v>
      </c>
      <c r="P21" s="8">
        <v>1378930357.0999999</v>
      </c>
      <c r="Q21" s="10">
        <f t="shared" si="0"/>
        <v>925.30202891473368</v>
      </c>
      <c r="R21" s="11">
        <f t="shared" si="1"/>
        <v>0.16050609272647273</v>
      </c>
      <c r="S21" s="10">
        <f t="shared" si="2"/>
        <v>5839.3161965936524</v>
      </c>
      <c r="T21" s="11">
        <f t="shared" si="3"/>
        <v>0.98725649381197778</v>
      </c>
      <c r="U21" s="10">
        <f t="shared" si="4"/>
        <v>27787955798.159996</v>
      </c>
      <c r="V21" s="12">
        <f t="shared" si="5"/>
        <v>4</v>
      </c>
      <c r="W21" s="11">
        <f t="shared" si="6"/>
        <v>0.4647114512018537</v>
      </c>
      <c r="X21" s="11">
        <f t="shared" si="7"/>
        <v>0.43723055437702868</v>
      </c>
      <c r="Y21" s="11">
        <f t="shared" si="8"/>
        <v>2.1028285794013425E-2</v>
      </c>
      <c r="Z21" s="12">
        <f t="shared" si="9"/>
        <v>16</v>
      </c>
      <c r="AA21" s="12">
        <f t="shared" si="10"/>
        <v>16</v>
      </c>
      <c r="AB21" s="12">
        <f t="shared" si="11"/>
        <v>14</v>
      </c>
      <c r="AC21" s="12">
        <f t="shared" si="12"/>
        <v>18</v>
      </c>
      <c r="AD21" s="12">
        <f t="shared" si="13"/>
        <v>2</v>
      </c>
      <c r="AE21" s="5"/>
    </row>
    <row r="22" spans="1:31" x14ac:dyDescent="0.25">
      <c r="A22" s="13" t="s">
        <v>101</v>
      </c>
      <c r="B22" s="14" t="s">
        <v>102</v>
      </c>
      <c r="C22" s="15">
        <v>17219679</v>
      </c>
      <c r="D22" s="16">
        <v>98296331940.649994</v>
      </c>
      <c r="E22" s="16">
        <v>98837749127</v>
      </c>
      <c r="F22" s="16">
        <v>100508250796.52</v>
      </c>
      <c r="G22" s="16">
        <v>10439322135.459999</v>
      </c>
      <c r="H22" s="16">
        <v>92709068228.220001</v>
      </c>
      <c r="I22" s="16">
        <v>43354236120.93</v>
      </c>
      <c r="J22" s="16">
        <v>952132817.14999998</v>
      </c>
      <c r="K22" s="16">
        <v>4506468165.6599998</v>
      </c>
      <c r="L22" s="16">
        <v>1528769608.3699999</v>
      </c>
      <c r="M22" s="16"/>
      <c r="N22" s="17">
        <v>2.1132</v>
      </c>
      <c r="O22" s="17">
        <v>2</v>
      </c>
      <c r="P22" s="16">
        <v>578463907.84000003</v>
      </c>
      <c r="Q22" s="18">
        <f t="shared" si="0"/>
        <v>606.24371310638253</v>
      </c>
      <c r="R22" s="19">
        <f t="shared" si="1"/>
        <v>0.10386532501291376</v>
      </c>
      <c r="S22" s="18">
        <f t="shared" si="2"/>
        <v>5708.3719121970853</v>
      </c>
      <c r="T22" s="19">
        <f t="shared" si="3"/>
        <v>1.005508010071799</v>
      </c>
      <c r="U22" s="18">
        <f t="shared" si="4"/>
        <v>50341606712.110008</v>
      </c>
      <c r="V22" s="20">
        <f t="shared" si="5"/>
        <v>4</v>
      </c>
      <c r="W22" s="19">
        <f t="shared" si="6"/>
        <v>0.54300628486724856</v>
      </c>
      <c r="X22" s="19">
        <f t="shared" si="7"/>
        <v>0.46763749166592605</v>
      </c>
      <c r="Y22" s="19">
        <f t="shared" si="8"/>
        <v>5.8848982095208681E-3</v>
      </c>
      <c r="Z22" s="20">
        <f t="shared" si="9"/>
        <v>27</v>
      </c>
      <c r="AA22" s="20">
        <f t="shared" si="10"/>
        <v>27</v>
      </c>
      <c r="AB22" s="20">
        <f t="shared" si="11"/>
        <v>5</v>
      </c>
      <c r="AC22" s="20">
        <f t="shared" si="12"/>
        <v>5</v>
      </c>
      <c r="AD22" s="20">
        <f t="shared" si="13"/>
        <v>1</v>
      </c>
      <c r="AE22" s="13"/>
    </row>
    <row r="23" spans="1:31" x14ac:dyDescent="0.25">
      <c r="A23" s="5" t="s">
        <v>103</v>
      </c>
      <c r="B23" s="6" t="s">
        <v>104</v>
      </c>
      <c r="C23" s="7">
        <v>1746227</v>
      </c>
      <c r="D23" s="8">
        <v>15071356907.299999</v>
      </c>
      <c r="E23" s="8">
        <v>14446046567.01</v>
      </c>
      <c r="F23" s="8">
        <v>14526983168.01</v>
      </c>
      <c r="G23" s="8">
        <v>2365352116.5599999</v>
      </c>
      <c r="H23" s="8">
        <v>14190334424.139999</v>
      </c>
      <c r="I23" s="8">
        <v>5308221759.4099998</v>
      </c>
      <c r="J23" s="8">
        <v>220247948.31</v>
      </c>
      <c r="K23" s="8">
        <v>685114772.12</v>
      </c>
      <c r="L23" s="8">
        <v>191926725.22999999</v>
      </c>
      <c r="M23" s="8"/>
      <c r="N23" s="9">
        <v>-1.34E-2</v>
      </c>
      <c r="O23" s="9">
        <v>2</v>
      </c>
      <c r="P23" s="8">
        <v>131564433.8</v>
      </c>
      <c r="Q23" s="10">
        <f t="shared" si="0"/>
        <v>1354.5501911034476</v>
      </c>
      <c r="R23" s="11">
        <f t="shared" si="1"/>
        <v>0.16282473031074773</v>
      </c>
      <c r="S23" s="10">
        <f t="shared" si="2"/>
        <v>8630.811977652389</v>
      </c>
      <c r="T23" s="11">
        <f t="shared" si="3"/>
        <v>0.95851001710488837</v>
      </c>
      <c r="U23" s="10">
        <f t="shared" si="4"/>
        <v>6405511205.0699997</v>
      </c>
      <c r="V23" s="12">
        <f t="shared" si="5"/>
        <v>4</v>
      </c>
      <c r="W23" s="11">
        <f t="shared" si="6"/>
        <v>0.45139959451365808</v>
      </c>
      <c r="X23" s="11">
        <f t="shared" si="7"/>
        <v>0.37407305569767801</v>
      </c>
      <c r="Y23" s="11">
        <f t="shared" si="8"/>
        <v>8.7294352200149358E-3</v>
      </c>
      <c r="Z23" s="12">
        <f t="shared" si="9"/>
        <v>6</v>
      </c>
      <c r="AA23" s="12">
        <f t="shared" si="10"/>
        <v>13</v>
      </c>
      <c r="AB23" s="12">
        <f t="shared" si="11"/>
        <v>20</v>
      </c>
      <c r="AC23" s="12">
        <f t="shared" si="12"/>
        <v>20</v>
      </c>
      <c r="AD23" s="12">
        <f t="shared" si="13"/>
        <v>22</v>
      </c>
      <c r="AE23" s="5"/>
    </row>
    <row r="24" spans="1:31" x14ac:dyDescent="0.25">
      <c r="A24" s="5" t="s">
        <v>105</v>
      </c>
      <c r="B24" s="6" t="s">
        <v>106</v>
      </c>
      <c r="C24" s="7">
        <v>716793</v>
      </c>
      <c r="D24" s="8">
        <v>8609931702.6299992</v>
      </c>
      <c r="E24" s="8">
        <v>8128793823.8599997</v>
      </c>
      <c r="F24" s="8">
        <v>8128836403.4200001</v>
      </c>
      <c r="G24" s="8">
        <v>1606647709.77</v>
      </c>
      <c r="H24" s="8">
        <v>7746996007.2600002</v>
      </c>
      <c r="I24" s="8">
        <v>3662385571.5</v>
      </c>
      <c r="J24" s="8">
        <v>165307305.75999999</v>
      </c>
      <c r="K24" s="8">
        <v>305590741.24000001</v>
      </c>
      <c r="L24" s="8">
        <v>97411417.299999997</v>
      </c>
      <c r="M24" s="8"/>
      <c r="N24" s="9">
        <v>0.1002</v>
      </c>
      <c r="O24" s="9">
        <v>0.90262661846048853</v>
      </c>
      <c r="P24" s="8">
        <v>105154229.90000001</v>
      </c>
      <c r="Q24" s="10">
        <f t="shared" si="0"/>
        <v>2241.4388948692299</v>
      </c>
      <c r="R24" s="11">
        <f t="shared" si="1"/>
        <v>0.19764793262342492</v>
      </c>
      <c r="S24" s="10">
        <f t="shared" si="2"/>
        <v>12011.740771226838</v>
      </c>
      <c r="T24" s="11">
        <f t="shared" si="3"/>
        <v>0.94411826999475146</v>
      </c>
      <c r="U24" s="10">
        <f t="shared" si="4"/>
        <v>4230695035.8000002</v>
      </c>
      <c r="V24" s="12">
        <f t="shared" si="5"/>
        <v>4</v>
      </c>
      <c r="W24" s="11">
        <f t="shared" si="6"/>
        <v>0.54610781157435184</v>
      </c>
      <c r="X24" s="11">
        <f t="shared" si="7"/>
        <v>0.47274912341091196</v>
      </c>
      <c r="Y24" s="11">
        <f t="shared" si="8"/>
        <v>1.2213131710194574E-2</v>
      </c>
      <c r="Z24" s="12">
        <f t="shared" si="9"/>
        <v>4</v>
      </c>
      <c r="AA24" s="12">
        <f t="shared" si="10"/>
        <v>5</v>
      </c>
      <c r="AB24" s="12">
        <f t="shared" si="11"/>
        <v>23</v>
      </c>
      <c r="AC24" s="12">
        <f t="shared" si="12"/>
        <v>4</v>
      </c>
      <c r="AD24" s="12">
        <f t="shared" si="13"/>
        <v>19</v>
      </c>
      <c r="AE24" s="5" t="s">
        <v>107</v>
      </c>
    </row>
    <row r="25" spans="1:31" x14ac:dyDescent="0.25">
      <c r="A25" s="5" t="s">
        <v>108</v>
      </c>
      <c r="B25" s="6" t="s">
        <v>109</v>
      </c>
      <c r="C25" s="7">
        <v>8058441</v>
      </c>
      <c r="D25" s="8">
        <v>49164303864.690002</v>
      </c>
      <c r="E25" s="8">
        <v>47523185461.690002</v>
      </c>
      <c r="F25" s="8">
        <v>47523185461.690002</v>
      </c>
      <c r="G25" s="8">
        <v>7794191989.1400003</v>
      </c>
      <c r="H25" s="8">
        <v>46437402114.32</v>
      </c>
      <c r="I25" s="8">
        <v>18419358812.560001</v>
      </c>
      <c r="J25" s="8">
        <v>620868189.15999997</v>
      </c>
      <c r="K25" s="8">
        <v>2197210003.6199999</v>
      </c>
      <c r="L25" s="8">
        <v>694801486.47000003</v>
      </c>
      <c r="M25" s="8"/>
      <c r="N25" s="9">
        <v>0.28360000000000002</v>
      </c>
      <c r="O25" s="9">
        <v>2</v>
      </c>
      <c r="P25" s="8">
        <v>3415309.61</v>
      </c>
      <c r="Q25" s="10">
        <f t="shared" si="0"/>
        <v>967.20842023165528</v>
      </c>
      <c r="R25" s="11">
        <f t="shared" si="1"/>
        <v>0.16400819754439974</v>
      </c>
      <c r="S25" s="10">
        <f t="shared" si="2"/>
        <v>6100.9696372648259</v>
      </c>
      <c r="T25" s="11">
        <f t="shared" si="3"/>
        <v>0.96661971646101841</v>
      </c>
      <c r="U25" s="10">
        <f t="shared" si="4"/>
        <v>21932238491.810001</v>
      </c>
      <c r="V25" s="12">
        <f t="shared" si="5"/>
        <v>4</v>
      </c>
      <c r="W25" s="11">
        <f t="shared" si="6"/>
        <v>0.47229684463866056</v>
      </c>
      <c r="X25" s="11">
        <f t="shared" si="7"/>
        <v>0.39664920891171007</v>
      </c>
      <c r="Y25" s="11">
        <f t="shared" si="8"/>
        <v>6.9467262658688613E-5</v>
      </c>
      <c r="Z25" s="12">
        <f t="shared" si="9"/>
        <v>13</v>
      </c>
      <c r="AA25" s="12">
        <f t="shared" si="10"/>
        <v>12</v>
      </c>
      <c r="AB25" s="12">
        <f t="shared" si="11"/>
        <v>18</v>
      </c>
      <c r="AC25" s="12">
        <f t="shared" si="12"/>
        <v>16</v>
      </c>
      <c r="AD25" s="12">
        <f t="shared" si="13"/>
        <v>12</v>
      </c>
      <c r="AE25" s="5"/>
    </row>
    <row r="26" spans="1:31" x14ac:dyDescent="0.25">
      <c r="A26" s="5" t="s">
        <v>110</v>
      </c>
      <c r="B26" s="6" t="s">
        <v>111</v>
      </c>
      <c r="C26" s="7">
        <v>2291077</v>
      </c>
      <c r="D26" s="8">
        <v>16129987037.42</v>
      </c>
      <c r="E26" s="8">
        <v>14885365581.76</v>
      </c>
      <c r="F26" s="8">
        <v>14885365581.76</v>
      </c>
      <c r="G26" s="8">
        <v>2971970080.9299998</v>
      </c>
      <c r="H26" s="8">
        <v>15169854338.290001</v>
      </c>
      <c r="I26" s="8">
        <v>6124028436.0900002</v>
      </c>
      <c r="J26" s="8">
        <v>138052531.55000001</v>
      </c>
      <c r="K26" s="8">
        <v>663395938.40999997</v>
      </c>
      <c r="L26" s="8">
        <v>187289065.16</v>
      </c>
      <c r="M26" s="8"/>
      <c r="N26" s="9">
        <v>0.11559999999999999</v>
      </c>
      <c r="O26" s="9">
        <v>2</v>
      </c>
      <c r="P26" s="8">
        <v>32878637.309999999</v>
      </c>
      <c r="Q26" s="10">
        <f t="shared" si="0"/>
        <v>1297.1934513462445</v>
      </c>
      <c r="R26" s="11">
        <f t="shared" si="1"/>
        <v>0.19965717768945807</v>
      </c>
      <c r="S26" s="10">
        <f t="shared" si="2"/>
        <v>7040.3513445510562</v>
      </c>
      <c r="T26" s="11">
        <f t="shared" si="3"/>
        <v>0.92283803745330983</v>
      </c>
      <c r="U26" s="10">
        <f t="shared" si="4"/>
        <v>7112765971.21</v>
      </c>
      <c r="V26" s="12">
        <f t="shared" si="5"/>
        <v>4</v>
      </c>
      <c r="W26" s="11">
        <f t="shared" si="6"/>
        <v>0.4688750341693641</v>
      </c>
      <c r="X26" s="11">
        <f t="shared" si="7"/>
        <v>0.4036972471536811</v>
      </c>
      <c r="Y26" s="11">
        <f t="shared" si="8"/>
        <v>2.0383548501139376E-3</v>
      </c>
      <c r="Z26" s="12">
        <f t="shared" si="9"/>
        <v>7</v>
      </c>
      <c r="AA26" s="12">
        <f t="shared" si="10"/>
        <v>4</v>
      </c>
      <c r="AB26" s="12">
        <f t="shared" si="11"/>
        <v>26</v>
      </c>
      <c r="AC26" s="12">
        <f t="shared" si="12"/>
        <v>17</v>
      </c>
      <c r="AD26" s="12">
        <f t="shared" si="13"/>
        <v>17</v>
      </c>
      <c r="AE26" s="5"/>
    </row>
    <row r="27" spans="1:31" x14ac:dyDescent="0.25">
      <c r="A27" s="5" t="s">
        <v>112</v>
      </c>
      <c r="B27" s="6" t="s">
        <v>113</v>
      </c>
      <c r="C27" s="7">
        <v>45973194</v>
      </c>
      <c r="D27" s="8">
        <v>354009688730.41998</v>
      </c>
      <c r="E27" s="8">
        <v>345724835564.35999</v>
      </c>
      <c r="F27" s="8">
        <v>345724835564.35999</v>
      </c>
      <c r="G27" s="8">
        <v>40427023538.540001</v>
      </c>
      <c r="H27" s="8">
        <v>250793910488.38</v>
      </c>
      <c r="I27" s="8">
        <v>105811548439.06</v>
      </c>
      <c r="J27" s="8">
        <v>955822549.63</v>
      </c>
      <c r="K27" s="8">
        <v>79717785.280000001</v>
      </c>
      <c r="L27" s="8">
        <v>3222645627.0799999</v>
      </c>
      <c r="M27" s="8"/>
      <c r="N27" s="9">
        <v>1.2655000000000001</v>
      </c>
      <c r="O27" s="9">
        <v>2</v>
      </c>
      <c r="P27" s="8">
        <v>3314210186.1599998</v>
      </c>
      <c r="Q27" s="10">
        <f t="shared" si="0"/>
        <v>879.36077572813406</v>
      </c>
      <c r="R27" s="11">
        <f t="shared" si="1"/>
        <v>0.11693410302024462</v>
      </c>
      <c r="S27" s="10">
        <f t="shared" si="2"/>
        <v>7700.3500938050984</v>
      </c>
      <c r="T27" s="11">
        <f t="shared" si="3"/>
        <v>0.97659710050374082</v>
      </c>
      <c r="U27" s="10">
        <f t="shared" si="4"/>
        <v>110069734401.05</v>
      </c>
      <c r="V27" s="12">
        <f t="shared" si="5"/>
        <v>4</v>
      </c>
      <c r="W27" s="11">
        <f t="shared" si="6"/>
        <v>0.43888519536502002</v>
      </c>
      <c r="X27" s="11">
        <f t="shared" si="7"/>
        <v>0.42190637018661803</v>
      </c>
      <c r="Y27" s="11">
        <f t="shared" si="8"/>
        <v>9.3619194379840447E-3</v>
      </c>
      <c r="Z27" s="12">
        <f t="shared" si="9"/>
        <v>18</v>
      </c>
      <c r="AA27" s="12">
        <f t="shared" si="10"/>
        <v>25</v>
      </c>
      <c r="AB27" s="12">
        <f t="shared" si="11"/>
        <v>17</v>
      </c>
      <c r="AC27" s="12">
        <f t="shared" si="12"/>
        <v>23</v>
      </c>
      <c r="AD27" s="12">
        <f t="shared" si="13"/>
        <v>4</v>
      </c>
      <c r="AE27" s="5"/>
    </row>
    <row r="28" spans="1:31" x14ac:dyDescent="0.25">
      <c r="A28" s="5" t="s">
        <v>114</v>
      </c>
      <c r="B28" s="6" t="s">
        <v>115</v>
      </c>
      <c r="C28" s="7">
        <v>1577342</v>
      </c>
      <c r="D28" s="8">
        <v>16299319242.299999</v>
      </c>
      <c r="E28" s="8">
        <v>16285356130.719999</v>
      </c>
      <c r="F28" s="8">
        <v>16285356130.719999</v>
      </c>
      <c r="G28" s="8">
        <v>3626101560.4099998</v>
      </c>
      <c r="H28" s="8">
        <v>14600906289.620001</v>
      </c>
      <c r="I28" s="8">
        <v>6762633313.54</v>
      </c>
      <c r="J28" s="8">
        <v>152627399.59999999</v>
      </c>
      <c r="K28" s="8">
        <v>575511289.67999995</v>
      </c>
      <c r="L28" s="8">
        <v>188111723.94</v>
      </c>
      <c r="M28" s="8"/>
      <c r="N28" s="9">
        <v>0.10920000000000001</v>
      </c>
      <c r="O28" s="9">
        <v>2</v>
      </c>
      <c r="P28" s="8">
        <v>319804112.38999999</v>
      </c>
      <c r="Q28" s="10">
        <f t="shared" si="0"/>
        <v>2298.8683243139408</v>
      </c>
      <c r="R28" s="11">
        <f t="shared" si="1"/>
        <v>0.22266025571094986</v>
      </c>
      <c r="S28" s="10">
        <f t="shared" si="2"/>
        <v>10333.408507666694</v>
      </c>
      <c r="T28" s="11">
        <f t="shared" si="3"/>
        <v>0.9991433316095949</v>
      </c>
      <c r="U28" s="10">
        <f t="shared" si="4"/>
        <v>7678883726.7600002</v>
      </c>
      <c r="V28" s="12">
        <f t="shared" si="5"/>
        <v>4</v>
      </c>
      <c r="W28" s="11">
        <f t="shared" si="6"/>
        <v>0.525918294004738</v>
      </c>
      <c r="X28" s="11">
        <f t="shared" si="7"/>
        <v>0.46316531175517889</v>
      </c>
      <c r="Y28" s="11">
        <f t="shared" si="8"/>
        <v>1.962070364018911E-2</v>
      </c>
      <c r="Z28" s="12">
        <f t="shared" si="9"/>
        <v>3</v>
      </c>
      <c r="AA28" s="12">
        <f t="shared" si="10"/>
        <v>1</v>
      </c>
      <c r="AB28" s="12">
        <f t="shared" si="11"/>
        <v>9</v>
      </c>
      <c r="AC28" s="12">
        <f t="shared" si="12"/>
        <v>8</v>
      </c>
      <c r="AD28" s="12">
        <f t="shared" si="13"/>
        <v>18</v>
      </c>
      <c r="AE28" s="5"/>
    </row>
  </sheetData>
  <autoFilter ref="A1:AE28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93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4.3" x14ac:dyDescent="0.25"/>
  <cols>
    <col min="1" max="1" width="28" customWidth="1"/>
    <col min="2" max="2" width="11" customWidth="1"/>
    <col min="3" max="3" width="12" customWidth="1"/>
    <col min="4" max="8" width="17" customWidth="1"/>
    <col min="9" max="11" width="16" customWidth="1"/>
    <col min="12" max="12" width="18" customWidth="1"/>
    <col min="13" max="13" width="16" customWidth="1"/>
    <col min="14" max="14" width="12" customWidth="1"/>
    <col min="15" max="15" width="26" customWidth="1"/>
    <col min="16" max="16" width="14" customWidth="1"/>
    <col min="17" max="17" width="12" customWidth="1"/>
    <col min="18" max="18" width="14" customWidth="1"/>
    <col min="19" max="19" width="12" customWidth="1"/>
    <col min="20" max="20" width="16" customWidth="1"/>
    <col min="21" max="21" width="9" customWidth="1"/>
    <col min="22" max="24" width="12" customWidth="1"/>
    <col min="25" max="28" width="11" customWidth="1"/>
    <col min="29" max="29" width="60" customWidth="1"/>
  </cols>
  <sheetData>
    <row r="1" spans="1:29" ht="62.05" customHeight="1" x14ac:dyDescent="0.25">
      <c r="A1" s="4" t="s">
        <v>29</v>
      </c>
      <c r="B1" s="4" t="s">
        <v>30</v>
      </c>
      <c r="C1" s="4" t="s">
        <v>31</v>
      </c>
      <c r="D1" s="4" t="s">
        <v>32</v>
      </c>
      <c r="E1" s="4" t="s">
        <v>33</v>
      </c>
      <c r="F1" s="4" t="s">
        <v>34</v>
      </c>
      <c r="G1" s="4" t="s">
        <v>35</v>
      </c>
      <c r="H1" s="4" t="s">
        <v>36</v>
      </c>
      <c r="I1" s="4" t="s">
        <v>37</v>
      </c>
      <c r="J1" s="4" t="s">
        <v>38</v>
      </c>
      <c r="K1" s="4" t="s">
        <v>42</v>
      </c>
      <c r="L1" s="4" t="s">
        <v>43</v>
      </c>
      <c r="M1" s="4" t="s">
        <v>44</v>
      </c>
      <c r="N1" s="4" t="s">
        <v>116</v>
      </c>
      <c r="O1" s="4" t="s">
        <v>117</v>
      </c>
      <c r="P1" s="4" t="s">
        <v>45</v>
      </c>
      <c r="Q1" s="4" t="s">
        <v>46</v>
      </c>
      <c r="R1" s="4" t="s">
        <v>47</v>
      </c>
      <c r="S1" s="4" t="s">
        <v>48</v>
      </c>
      <c r="T1" s="4" t="s">
        <v>49</v>
      </c>
      <c r="U1" s="4" t="s">
        <v>50</v>
      </c>
      <c r="V1" s="4" t="s">
        <v>51</v>
      </c>
      <c r="W1" s="4" t="s">
        <v>52</v>
      </c>
      <c r="X1" s="4" t="s">
        <v>53</v>
      </c>
      <c r="Y1" s="4" t="s">
        <v>54</v>
      </c>
      <c r="Z1" s="4" t="s">
        <v>55</v>
      </c>
      <c r="AA1" s="4" t="s">
        <v>56</v>
      </c>
      <c r="AB1" s="4" t="s">
        <v>57</v>
      </c>
      <c r="AC1" s="4" t="s">
        <v>59</v>
      </c>
    </row>
    <row r="2" spans="1:29" x14ac:dyDescent="0.25">
      <c r="A2" s="5" t="s">
        <v>118</v>
      </c>
      <c r="B2" s="6" t="s">
        <v>119</v>
      </c>
      <c r="C2" s="7">
        <v>179120</v>
      </c>
      <c r="D2" s="8">
        <v>2336713744.8299999</v>
      </c>
      <c r="E2" s="8">
        <v>2656724353.3699999</v>
      </c>
      <c r="F2" s="8">
        <v>2656724353.3699999</v>
      </c>
      <c r="G2" s="8">
        <v>679328352.78999996</v>
      </c>
      <c r="H2" s="8">
        <v>2079870416.03</v>
      </c>
      <c r="I2" s="8">
        <v>911247729.50999999</v>
      </c>
      <c r="J2" s="8">
        <v>45377108.479999997</v>
      </c>
      <c r="K2" s="9">
        <v>-0.16439999999999999</v>
      </c>
      <c r="L2" s="9">
        <v>1.1999999999971149</v>
      </c>
      <c r="M2" s="8">
        <v>9009662.5700000003</v>
      </c>
      <c r="N2" s="5" t="s">
        <v>120</v>
      </c>
      <c r="O2" s="5"/>
      <c r="P2" s="10">
        <f t="shared" ref="P2:P33" si="0">IFERROR(G2/C2,"")</f>
        <v>3792.5879454555602</v>
      </c>
      <c r="Q2" s="11">
        <f t="shared" ref="Q2:Q33" si="1">IFERROR(G2/F2,"")</f>
        <v>0.25570148138563414</v>
      </c>
      <c r="R2" s="10">
        <f t="shared" ref="R2:R33" si="2">IFERROR(D2/C2,"")</f>
        <v>13045.521130136221</v>
      </c>
      <c r="S2" s="11">
        <f t="shared" ref="S2:S33" si="3">IFERROR(E2/D2,"")</f>
        <v>1.1369489991009922</v>
      </c>
      <c r="T2" s="10">
        <f t="shared" ref="T2:T33" si="4">SUM(I2:J2)</f>
        <v>956624837.99000001</v>
      </c>
      <c r="U2" s="12">
        <f t="shared" ref="U2:U33" si="5">COUNT(I2:J2)</f>
        <v>2</v>
      </c>
      <c r="V2" s="11">
        <f t="shared" ref="V2:V33" si="6">IFERROR(T2/H2,"")</f>
        <v>0.45994444202729678</v>
      </c>
      <c r="W2" s="11">
        <f t="shared" ref="W2:W33" si="7">IFERROR(I2/H2,"")</f>
        <v>0.43812716527280815</v>
      </c>
      <c r="X2" s="11">
        <f t="shared" ref="X2:X33" si="8">IF(M2="","",IFERROR(M2/D2,""))</f>
        <v>3.8556980246014128E-3</v>
      </c>
      <c r="Y2" s="12">
        <f t="shared" ref="Y2:Y33" si="9">IFERROR(RANK(P2,P$2:P$93),"")</f>
        <v>12</v>
      </c>
      <c r="Z2" s="12">
        <f t="shared" ref="Z2:Z33" si="10">IFERROR(RANK(Q2,Q$2:Q$93),"")</f>
        <v>66</v>
      </c>
      <c r="AA2" s="12">
        <f t="shared" ref="AA2:AA33" si="11">IFERROR(RANK(S2,S$2:S$93),"")</f>
        <v>8</v>
      </c>
      <c r="AB2" s="12">
        <f t="shared" ref="AB2:AB33" si="12">IF(U2&gt;=2,COUNTIFS(U$2:U$93,"&gt;=2",V$2:V$93,"&gt;"&amp;V2)+1,"n/c")</f>
        <v>51</v>
      </c>
      <c r="AC2" s="5"/>
    </row>
    <row r="3" spans="1:29" x14ac:dyDescent="0.25">
      <c r="A3" s="5" t="s">
        <v>121</v>
      </c>
      <c r="B3" s="6" t="s">
        <v>122</v>
      </c>
      <c r="C3" s="7">
        <v>11420</v>
      </c>
      <c r="D3" s="8">
        <v>118699047.09</v>
      </c>
      <c r="E3" s="8">
        <v>111027169.34</v>
      </c>
      <c r="F3" s="8">
        <v>111027169.34</v>
      </c>
      <c r="G3" s="8">
        <v>34661347.770000003</v>
      </c>
      <c r="H3" s="8">
        <v>94802415.829999998</v>
      </c>
      <c r="I3" s="8">
        <v>47311944.289999999</v>
      </c>
      <c r="J3" s="8">
        <v>2610995.88</v>
      </c>
      <c r="K3" s="9">
        <v>7.1500000000000008E-2</v>
      </c>
      <c r="L3" s="9">
        <v>1.2000000000421931</v>
      </c>
      <c r="M3" s="8">
        <v>663931.38</v>
      </c>
      <c r="N3" s="5" t="s">
        <v>120</v>
      </c>
      <c r="O3" s="5"/>
      <c r="P3" s="10">
        <f t="shared" si="0"/>
        <v>3035.1442880910686</v>
      </c>
      <c r="Q3" s="11">
        <f t="shared" si="1"/>
        <v>0.31218798043797813</v>
      </c>
      <c r="R3" s="10">
        <f t="shared" si="2"/>
        <v>10393.962091943959</v>
      </c>
      <c r="S3" s="11">
        <f t="shared" si="3"/>
        <v>0.9353669811335299</v>
      </c>
      <c r="T3" s="10">
        <f t="shared" si="4"/>
        <v>49922940.170000002</v>
      </c>
      <c r="U3" s="12">
        <f t="shared" si="5"/>
        <v>2</v>
      </c>
      <c r="V3" s="11">
        <f t="shared" si="6"/>
        <v>0.52659987335683489</v>
      </c>
      <c r="W3" s="11">
        <f t="shared" si="7"/>
        <v>0.49905842457474853</v>
      </c>
      <c r="X3" s="11">
        <f t="shared" si="8"/>
        <v>5.5934010952640072E-3</v>
      </c>
      <c r="Y3" s="12">
        <f t="shared" si="9"/>
        <v>30</v>
      </c>
      <c r="Z3" s="12">
        <f t="shared" si="10"/>
        <v>30</v>
      </c>
      <c r="AA3" s="12">
        <f t="shared" si="11"/>
        <v>82</v>
      </c>
      <c r="AB3" s="12">
        <f t="shared" si="12"/>
        <v>24</v>
      </c>
      <c r="AC3" s="5"/>
    </row>
    <row r="4" spans="1:29" x14ac:dyDescent="0.25">
      <c r="A4" s="5" t="s">
        <v>123</v>
      </c>
      <c r="B4" s="6" t="s">
        <v>124</v>
      </c>
      <c r="C4" s="7">
        <v>137773</v>
      </c>
      <c r="D4" s="8">
        <v>1157474132.53</v>
      </c>
      <c r="E4" s="8">
        <v>1183780860.5899999</v>
      </c>
      <c r="F4" s="8">
        <v>1183780860.5899999</v>
      </c>
      <c r="G4" s="8">
        <v>270021506.32999998</v>
      </c>
      <c r="H4" s="8">
        <v>1121422027.3299999</v>
      </c>
      <c r="I4" s="8">
        <v>386753920.44</v>
      </c>
      <c r="J4" s="8">
        <v>13680509.880000001</v>
      </c>
      <c r="K4" s="9">
        <v>-4.0999999999999988E-2</v>
      </c>
      <c r="L4" s="9">
        <v>1.19999999999465</v>
      </c>
      <c r="M4" s="8">
        <v>28070875.149999999</v>
      </c>
      <c r="N4" s="5" t="s">
        <v>120</v>
      </c>
      <c r="O4" s="5"/>
      <c r="P4" s="10">
        <f t="shared" si="0"/>
        <v>1959.901478010931</v>
      </c>
      <c r="Q4" s="11">
        <f t="shared" si="1"/>
        <v>0.22810092249288474</v>
      </c>
      <c r="R4" s="10">
        <f t="shared" si="2"/>
        <v>8401.3132655164645</v>
      </c>
      <c r="S4" s="11">
        <f t="shared" si="3"/>
        <v>1.0227277027802764</v>
      </c>
      <c r="T4" s="10">
        <f t="shared" si="4"/>
        <v>400434430.31999999</v>
      </c>
      <c r="U4" s="12">
        <f t="shared" si="5"/>
        <v>2</v>
      </c>
      <c r="V4" s="11">
        <f t="shared" si="6"/>
        <v>0.35707737190912558</v>
      </c>
      <c r="W4" s="11">
        <f t="shared" si="7"/>
        <v>0.34487811993565404</v>
      </c>
      <c r="X4" s="11">
        <f t="shared" si="8"/>
        <v>2.4251837998869874E-2</v>
      </c>
      <c r="Y4" s="12">
        <f t="shared" si="9"/>
        <v>63</v>
      </c>
      <c r="Z4" s="12">
        <f t="shared" si="10"/>
        <v>82</v>
      </c>
      <c r="AA4" s="12">
        <f t="shared" si="11"/>
        <v>45</v>
      </c>
      <c r="AB4" s="12">
        <f t="shared" si="12"/>
        <v>83</v>
      </c>
      <c r="AC4" s="5"/>
    </row>
    <row r="5" spans="1:29" x14ac:dyDescent="0.25">
      <c r="A5" s="21" t="s">
        <v>125</v>
      </c>
      <c r="B5" s="22" t="s">
        <v>126</v>
      </c>
      <c r="C5" s="23">
        <v>12236</v>
      </c>
      <c r="D5" s="24">
        <v>144185038.52000001</v>
      </c>
      <c r="E5" s="24">
        <v>148743687.68000001</v>
      </c>
      <c r="F5" s="24">
        <v>148743687.68000001</v>
      </c>
      <c r="G5" s="24">
        <v>34690388.520000003</v>
      </c>
      <c r="H5" s="24">
        <v>44840732.009999998</v>
      </c>
      <c r="I5" s="24">
        <v>69129368.760000005</v>
      </c>
      <c r="J5" s="24">
        <v>2493716.4700000002</v>
      </c>
      <c r="K5" s="25">
        <v>-0.3649</v>
      </c>
      <c r="L5" s="25">
        <v>1.1999999999558559</v>
      </c>
      <c r="M5" s="24">
        <v>8934648.3200000003</v>
      </c>
      <c r="N5" s="21" t="s">
        <v>120</v>
      </c>
      <c r="O5" s="21" t="s">
        <v>127</v>
      </c>
      <c r="P5" s="26">
        <f t="shared" si="0"/>
        <v>2835.1085746976137</v>
      </c>
      <c r="Q5" s="27">
        <f t="shared" si="1"/>
        <v>0.23322259291185002</v>
      </c>
      <c r="R5" s="26">
        <f t="shared" si="2"/>
        <v>11783.674282445245</v>
      </c>
      <c r="S5" s="27">
        <f t="shared" si="3"/>
        <v>1.0316166587517863</v>
      </c>
      <c r="T5" s="26">
        <f t="shared" si="4"/>
        <v>71623085.230000004</v>
      </c>
      <c r="U5" s="28">
        <f t="shared" si="5"/>
        <v>2</v>
      </c>
      <c r="V5" s="27">
        <f t="shared" si="6"/>
        <v>1.5972773418156339</v>
      </c>
      <c r="W5" s="27">
        <f t="shared" si="7"/>
        <v>1.5416645906802628</v>
      </c>
      <c r="X5" s="27">
        <f t="shared" si="8"/>
        <v>6.1966542518630797E-2</v>
      </c>
      <c r="Y5" s="28">
        <f t="shared" si="9"/>
        <v>32</v>
      </c>
      <c r="Z5" s="28">
        <f t="shared" si="10"/>
        <v>79</v>
      </c>
      <c r="AA5" s="28">
        <f t="shared" si="11"/>
        <v>42</v>
      </c>
      <c r="AB5" s="28">
        <f t="shared" si="12"/>
        <v>1</v>
      </c>
      <c r="AC5" s="21" t="s">
        <v>128</v>
      </c>
    </row>
    <row r="6" spans="1:29" x14ac:dyDescent="0.25">
      <c r="A6" s="21" t="s">
        <v>129</v>
      </c>
      <c r="B6" s="22" t="s">
        <v>130</v>
      </c>
      <c r="C6" s="23">
        <v>42442</v>
      </c>
      <c r="D6" s="24">
        <v>632434211.90999997</v>
      </c>
      <c r="E6" s="24">
        <v>542663899.5</v>
      </c>
      <c r="F6" s="24">
        <v>542663899.5</v>
      </c>
      <c r="G6" s="24">
        <v>156237515.63999999</v>
      </c>
      <c r="H6" s="24">
        <v>556015316.20000005</v>
      </c>
      <c r="I6" s="24">
        <v>261545292.86000001</v>
      </c>
      <c r="J6" s="24">
        <v>9880449.4000000004</v>
      </c>
      <c r="K6" s="25">
        <v>-0.1321</v>
      </c>
      <c r="L6" s="25">
        <v>1.2</v>
      </c>
      <c r="M6" s="24">
        <v>4828202.2699999996</v>
      </c>
      <c r="N6" s="21" t="s">
        <v>120</v>
      </c>
      <c r="O6" s="21" t="s">
        <v>131</v>
      </c>
      <c r="P6" s="26">
        <f t="shared" si="0"/>
        <v>3681.2005946939348</v>
      </c>
      <c r="Q6" s="27">
        <f t="shared" si="1"/>
        <v>0.28790843795571108</v>
      </c>
      <c r="R6" s="26">
        <f t="shared" si="2"/>
        <v>14901.140660430705</v>
      </c>
      <c r="S6" s="27">
        <f t="shared" si="3"/>
        <v>0.85805588831305202</v>
      </c>
      <c r="T6" s="26">
        <f t="shared" si="4"/>
        <v>271425742.25999999</v>
      </c>
      <c r="U6" s="28">
        <f t="shared" si="5"/>
        <v>2</v>
      </c>
      <c r="V6" s="27">
        <f t="shared" si="6"/>
        <v>0.48816234796375196</v>
      </c>
      <c r="W6" s="27">
        <f t="shared" si="7"/>
        <v>0.47039224503290761</v>
      </c>
      <c r="X6" s="27">
        <f t="shared" si="8"/>
        <v>7.6343154419468507E-3</v>
      </c>
      <c r="Y6" s="28">
        <f t="shared" si="9"/>
        <v>16</v>
      </c>
      <c r="Z6" s="28">
        <f t="shared" si="10"/>
        <v>48</v>
      </c>
      <c r="AA6" s="28">
        <f t="shared" si="11"/>
        <v>90</v>
      </c>
      <c r="AB6" s="28">
        <f t="shared" si="12"/>
        <v>44</v>
      </c>
      <c r="AC6" s="21" t="s">
        <v>132</v>
      </c>
    </row>
    <row r="7" spans="1:29" x14ac:dyDescent="0.25">
      <c r="A7" s="5" t="s">
        <v>133</v>
      </c>
      <c r="B7" s="6" t="s">
        <v>134</v>
      </c>
      <c r="C7" s="7">
        <v>32794</v>
      </c>
      <c r="D7" s="8">
        <v>818865088.51999998</v>
      </c>
      <c r="E7" s="8">
        <v>716783024.64999998</v>
      </c>
      <c r="F7" s="8">
        <v>716783024.64999998</v>
      </c>
      <c r="G7" s="8">
        <v>181172190.84</v>
      </c>
      <c r="H7" s="8">
        <v>805087378.5</v>
      </c>
      <c r="I7" s="8">
        <v>330954751.04000002</v>
      </c>
      <c r="J7" s="8">
        <v>5818675.8200000003</v>
      </c>
      <c r="K7" s="9">
        <v>-0.18440000000000001</v>
      </c>
      <c r="L7" s="9">
        <v>1.2</v>
      </c>
      <c r="M7" s="8">
        <v>8965622.8800000008</v>
      </c>
      <c r="N7" s="5" t="s">
        <v>120</v>
      </c>
      <c r="O7" s="5"/>
      <c r="P7" s="10">
        <f t="shared" si="0"/>
        <v>5524.5529926206018</v>
      </c>
      <c r="Q7" s="11">
        <f t="shared" si="1"/>
        <v>0.25275736814284222</v>
      </c>
      <c r="R7" s="10">
        <f t="shared" si="2"/>
        <v>24969.966717082392</v>
      </c>
      <c r="S7" s="11">
        <f t="shared" si="3"/>
        <v>0.87533714002327168</v>
      </c>
      <c r="T7" s="10">
        <f t="shared" si="4"/>
        <v>336773426.86000001</v>
      </c>
      <c r="U7" s="12">
        <f t="shared" si="5"/>
        <v>2</v>
      </c>
      <c r="V7" s="11">
        <f t="shared" si="6"/>
        <v>0.41830667807444705</v>
      </c>
      <c r="W7" s="11">
        <f t="shared" si="7"/>
        <v>0.4110792938483509</v>
      </c>
      <c r="X7" s="11">
        <f t="shared" si="8"/>
        <v>1.0948840053987751E-2</v>
      </c>
      <c r="Y7" s="12">
        <f t="shared" si="9"/>
        <v>3</v>
      </c>
      <c r="Z7" s="12">
        <f t="shared" si="10"/>
        <v>67</v>
      </c>
      <c r="AA7" s="12">
        <f t="shared" si="11"/>
        <v>89</v>
      </c>
      <c r="AB7" s="12">
        <f t="shared" si="12"/>
        <v>70</v>
      </c>
      <c r="AC7" s="5"/>
    </row>
    <row r="8" spans="1:29" x14ac:dyDescent="0.25">
      <c r="A8" s="5" t="s">
        <v>135</v>
      </c>
      <c r="B8" s="6" t="s">
        <v>136</v>
      </c>
      <c r="C8" s="7">
        <v>181688</v>
      </c>
      <c r="D8" s="8">
        <v>897534602.13999999</v>
      </c>
      <c r="E8" s="8">
        <v>936719341.99000001</v>
      </c>
      <c r="F8" s="8">
        <v>936719341.99000001</v>
      </c>
      <c r="G8" s="8">
        <v>258250532.16</v>
      </c>
      <c r="H8" s="8">
        <v>845829848.71000004</v>
      </c>
      <c r="I8" s="8">
        <v>408132599.45999998</v>
      </c>
      <c r="J8" s="8">
        <v>17012905.989999998</v>
      </c>
      <c r="K8" s="9">
        <v>-4.6999999999999993E-3</v>
      </c>
      <c r="L8" s="9">
        <v>1.200004944254458</v>
      </c>
      <c r="M8" s="8">
        <v>3363404.19</v>
      </c>
      <c r="N8" s="5" t="s">
        <v>120</v>
      </c>
      <c r="O8" s="5"/>
      <c r="P8" s="10">
        <f t="shared" si="0"/>
        <v>1421.3956461626524</v>
      </c>
      <c r="Q8" s="11">
        <f t="shared" si="1"/>
        <v>0.27569680755322434</v>
      </c>
      <c r="R8" s="10">
        <f t="shared" si="2"/>
        <v>4939.9773355422485</v>
      </c>
      <c r="S8" s="11">
        <f t="shared" si="3"/>
        <v>1.0436581940758289</v>
      </c>
      <c r="T8" s="10">
        <f t="shared" si="4"/>
        <v>425145505.44999999</v>
      </c>
      <c r="U8" s="12">
        <f t="shared" si="5"/>
        <v>2</v>
      </c>
      <c r="V8" s="11">
        <f t="shared" si="6"/>
        <v>0.50263715107524509</v>
      </c>
      <c r="W8" s="11">
        <f t="shared" si="7"/>
        <v>0.48252328773033371</v>
      </c>
      <c r="X8" s="11">
        <f t="shared" si="8"/>
        <v>3.747381083671431E-3</v>
      </c>
      <c r="Y8" s="12">
        <f t="shared" si="9"/>
        <v>78</v>
      </c>
      <c r="Z8" s="12">
        <f t="shared" si="10"/>
        <v>53</v>
      </c>
      <c r="AA8" s="12">
        <f t="shared" si="11"/>
        <v>36</v>
      </c>
      <c r="AB8" s="12">
        <f t="shared" si="12"/>
        <v>36</v>
      </c>
      <c r="AC8" s="5"/>
    </row>
    <row r="9" spans="1:29" x14ac:dyDescent="0.25">
      <c r="A9" s="5" t="s">
        <v>137</v>
      </c>
      <c r="B9" s="6" t="s">
        <v>138</v>
      </c>
      <c r="C9" s="7">
        <v>98501</v>
      </c>
      <c r="D9" s="8">
        <v>413553917.62</v>
      </c>
      <c r="E9" s="8">
        <v>504837058.94</v>
      </c>
      <c r="F9" s="8">
        <v>504837058.94</v>
      </c>
      <c r="G9" s="8">
        <v>125487461.03</v>
      </c>
      <c r="H9" s="8">
        <v>395851060.20999998</v>
      </c>
      <c r="I9" s="8">
        <v>173648405.30000001</v>
      </c>
      <c r="J9" s="8">
        <v>6018476.2999999998</v>
      </c>
      <c r="K9" s="9">
        <v>0.27229999999999999</v>
      </c>
      <c r="L9" s="9">
        <v>1.199999999994948</v>
      </c>
      <c r="M9" s="8">
        <v>84231412.180000007</v>
      </c>
      <c r="N9" s="5" t="s">
        <v>120</v>
      </c>
      <c r="O9" s="5"/>
      <c r="P9" s="10">
        <f t="shared" si="0"/>
        <v>1273.9714422188608</v>
      </c>
      <c r="Q9" s="11">
        <f t="shared" si="1"/>
        <v>0.24857022440762261</v>
      </c>
      <c r="R9" s="10">
        <f t="shared" si="2"/>
        <v>4198.474306047654</v>
      </c>
      <c r="S9" s="11">
        <f t="shared" si="3"/>
        <v>1.2207285130928849</v>
      </c>
      <c r="T9" s="10">
        <f t="shared" si="4"/>
        <v>179666881.60000002</v>
      </c>
      <c r="U9" s="12">
        <f t="shared" si="5"/>
        <v>2</v>
      </c>
      <c r="V9" s="11">
        <f t="shared" si="6"/>
        <v>0.45387495363707325</v>
      </c>
      <c r="W9" s="11">
        <f t="shared" si="7"/>
        <v>0.43867106281811924</v>
      </c>
      <c r="X9" s="11">
        <f t="shared" si="8"/>
        <v>0.20367697799781759</v>
      </c>
      <c r="Y9" s="12">
        <f t="shared" si="9"/>
        <v>81</v>
      </c>
      <c r="Z9" s="12">
        <f t="shared" si="10"/>
        <v>71</v>
      </c>
      <c r="AA9" s="12">
        <f t="shared" si="11"/>
        <v>4</v>
      </c>
      <c r="AB9" s="12">
        <f t="shared" si="12"/>
        <v>55</v>
      </c>
      <c r="AC9" s="5"/>
    </row>
    <row r="10" spans="1:29" x14ac:dyDescent="0.25">
      <c r="A10" s="5" t="s">
        <v>139</v>
      </c>
      <c r="B10" s="6" t="s">
        <v>140</v>
      </c>
      <c r="C10" s="7">
        <v>518263</v>
      </c>
      <c r="D10" s="8">
        <v>1634765364</v>
      </c>
      <c r="E10" s="8">
        <v>1680174347.5599999</v>
      </c>
      <c r="F10" s="8">
        <v>1680174347.5599999</v>
      </c>
      <c r="G10" s="8">
        <v>570948485.69000006</v>
      </c>
      <c r="H10" s="8">
        <v>1460323761.8</v>
      </c>
      <c r="I10" s="8">
        <v>729502416.91999996</v>
      </c>
      <c r="J10" s="8">
        <v>17054047.579999998</v>
      </c>
      <c r="K10" s="9">
        <v>0.47099999999999997</v>
      </c>
      <c r="L10" s="9">
        <v>1.2</v>
      </c>
      <c r="M10" s="8">
        <v>186478341.16</v>
      </c>
      <c r="N10" s="5" t="s">
        <v>120</v>
      </c>
      <c r="O10" s="5"/>
      <c r="P10" s="10">
        <f t="shared" si="0"/>
        <v>1101.6578179225608</v>
      </c>
      <c r="Q10" s="11">
        <f t="shared" si="1"/>
        <v>0.33981502367248301</v>
      </c>
      <c r="R10" s="10">
        <f t="shared" si="2"/>
        <v>3154.3161753781383</v>
      </c>
      <c r="S10" s="11">
        <f t="shared" si="3"/>
        <v>1.0277770648681299</v>
      </c>
      <c r="T10" s="10">
        <f t="shared" si="4"/>
        <v>746556464.5</v>
      </c>
      <c r="U10" s="12">
        <f t="shared" si="5"/>
        <v>2</v>
      </c>
      <c r="V10" s="11">
        <f t="shared" si="6"/>
        <v>0.5112266772813393</v>
      </c>
      <c r="W10" s="11">
        <f t="shared" si="7"/>
        <v>0.4995484124841007</v>
      </c>
      <c r="X10" s="11">
        <f t="shared" si="8"/>
        <v>0.11407040133497715</v>
      </c>
      <c r="Y10" s="12">
        <f t="shared" si="9"/>
        <v>87</v>
      </c>
      <c r="Z10" s="12">
        <f t="shared" si="10"/>
        <v>17</v>
      </c>
      <c r="AA10" s="12">
        <f t="shared" si="11"/>
        <v>43</v>
      </c>
      <c r="AB10" s="12">
        <f t="shared" si="12"/>
        <v>33</v>
      </c>
      <c r="AC10" s="5" t="s">
        <v>141</v>
      </c>
    </row>
    <row r="11" spans="1:29" x14ac:dyDescent="0.25">
      <c r="A11" s="5" t="s">
        <v>142</v>
      </c>
      <c r="B11" s="6" t="s">
        <v>143</v>
      </c>
      <c r="C11" s="7">
        <v>29736</v>
      </c>
      <c r="D11" s="8">
        <v>163879107.58000001</v>
      </c>
      <c r="E11" s="8">
        <v>153359282.72</v>
      </c>
      <c r="F11" s="8">
        <v>153359282.72</v>
      </c>
      <c r="G11" s="8">
        <v>43970483.200000003</v>
      </c>
      <c r="H11" s="8">
        <v>126072640.62</v>
      </c>
      <c r="I11" s="8">
        <v>61522670.030000001</v>
      </c>
      <c r="J11" s="8">
        <v>3969569.02</v>
      </c>
      <c r="K11" s="9">
        <v>-0.14169999999999999</v>
      </c>
      <c r="L11" s="9">
        <v>1.199999999968272</v>
      </c>
      <c r="M11" s="8">
        <v>1776388.66</v>
      </c>
      <c r="N11" s="5" t="s">
        <v>120</v>
      </c>
      <c r="O11" s="5"/>
      <c r="P11" s="10">
        <f t="shared" si="0"/>
        <v>1478.6952919020716</v>
      </c>
      <c r="Q11" s="11">
        <f t="shared" si="1"/>
        <v>0.28671549853477302</v>
      </c>
      <c r="R11" s="10">
        <f t="shared" si="2"/>
        <v>5511.1349065106269</v>
      </c>
      <c r="S11" s="11">
        <f t="shared" si="3"/>
        <v>0.93580740696391329</v>
      </c>
      <c r="T11" s="10">
        <f t="shared" si="4"/>
        <v>65492239.050000004</v>
      </c>
      <c r="U11" s="12">
        <f t="shared" si="5"/>
        <v>2</v>
      </c>
      <c r="V11" s="11">
        <f t="shared" si="6"/>
        <v>0.51948018799259132</v>
      </c>
      <c r="W11" s="11">
        <f t="shared" si="7"/>
        <v>0.48799382425436499</v>
      </c>
      <c r="X11" s="11">
        <f t="shared" si="8"/>
        <v>1.0839628591050445E-2</v>
      </c>
      <c r="Y11" s="12">
        <f t="shared" si="9"/>
        <v>76</v>
      </c>
      <c r="Z11" s="12">
        <f t="shared" si="10"/>
        <v>49</v>
      </c>
      <c r="AA11" s="12">
        <f t="shared" si="11"/>
        <v>81</v>
      </c>
      <c r="AB11" s="12">
        <f t="shared" si="12"/>
        <v>27</v>
      </c>
      <c r="AC11" s="5"/>
    </row>
    <row r="12" spans="1:29" x14ac:dyDescent="0.25">
      <c r="A12" s="5" t="s">
        <v>144</v>
      </c>
      <c r="B12" s="6" t="s">
        <v>145</v>
      </c>
      <c r="C12" s="7">
        <v>37172</v>
      </c>
      <c r="D12" s="8">
        <v>282190332.36000001</v>
      </c>
      <c r="E12" s="8">
        <v>294885930.44999999</v>
      </c>
      <c r="F12" s="8">
        <v>294885930.44999999</v>
      </c>
      <c r="G12" s="8">
        <v>141295041.21000001</v>
      </c>
      <c r="H12" s="8">
        <v>246641951.65000001</v>
      </c>
      <c r="I12" s="8">
        <v>80617197.480000004</v>
      </c>
      <c r="J12" s="8">
        <v>4625225.2</v>
      </c>
      <c r="K12" s="9">
        <v>0.16109999999999999</v>
      </c>
      <c r="L12" s="9">
        <v>1.2</v>
      </c>
      <c r="M12" s="8">
        <v>2202369.85</v>
      </c>
      <c r="N12" s="5" t="s">
        <v>120</v>
      </c>
      <c r="O12" s="5"/>
      <c r="P12" s="10">
        <f t="shared" si="0"/>
        <v>3801.1148501560315</v>
      </c>
      <c r="Q12" s="11">
        <f t="shared" si="1"/>
        <v>0.47915151799335365</v>
      </c>
      <c r="R12" s="10">
        <f t="shared" si="2"/>
        <v>7591.4756365005924</v>
      </c>
      <c r="S12" s="11">
        <f t="shared" si="3"/>
        <v>1.0449894862939662</v>
      </c>
      <c r="T12" s="10">
        <f t="shared" si="4"/>
        <v>85242422.680000007</v>
      </c>
      <c r="U12" s="12">
        <f t="shared" si="5"/>
        <v>2</v>
      </c>
      <c r="V12" s="11">
        <f t="shared" si="6"/>
        <v>0.34561201818968823</v>
      </c>
      <c r="W12" s="11">
        <f t="shared" si="7"/>
        <v>0.32685922626172181</v>
      </c>
      <c r="X12" s="11">
        <f t="shared" si="8"/>
        <v>7.8045545769809023E-3</v>
      </c>
      <c r="Y12" s="12">
        <f t="shared" si="9"/>
        <v>11</v>
      </c>
      <c r="Z12" s="12">
        <f t="shared" si="10"/>
        <v>1</v>
      </c>
      <c r="AA12" s="12">
        <f t="shared" si="11"/>
        <v>33</v>
      </c>
      <c r="AB12" s="12">
        <f t="shared" si="12"/>
        <v>84</v>
      </c>
      <c r="AC12" s="5"/>
    </row>
    <row r="13" spans="1:29" x14ac:dyDescent="0.25">
      <c r="A13" s="5" t="s">
        <v>146</v>
      </c>
      <c r="B13" s="6" t="s">
        <v>147</v>
      </c>
      <c r="C13" s="7">
        <v>238166</v>
      </c>
      <c r="D13" s="8">
        <v>1471284168.3499999</v>
      </c>
      <c r="E13" s="8">
        <v>1565330106.23</v>
      </c>
      <c r="F13" s="8">
        <v>1565330106.23</v>
      </c>
      <c r="G13" s="8">
        <v>473166771.61000001</v>
      </c>
      <c r="H13" s="8">
        <v>1422770674.52</v>
      </c>
      <c r="I13" s="8">
        <v>900174055.88</v>
      </c>
      <c r="J13" s="8">
        <v>11425952.74</v>
      </c>
      <c r="K13" s="9">
        <v>0.6179</v>
      </c>
      <c r="L13" s="9">
        <v>1.1999999999972051</v>
      </c>
      <c r="M13" s="8">
        <v>87105067.530000001</v>
      </c>
      <c r="N13" s="5" t="s">
        <v>120</v>
      </c>
      <c r="O13" s="5"/>
      <c r="P13" s="10">
        <f t="shared" si="0"/>
        <v>1986.7099905528078</v>
      </c>
      <c r="Q13" s="11">
        <f t="shared" si="1"/>
        <v>0.3022792251466962</v>
      </c>
      <c r="R13" s="10">
        <f t="shared" si="2"/>
        <v>6177.5575369700118</v>
      </c>
      <c r="S13" s="11">
        <f t="shared" si="3"/>
        <v>1.063920988142943</v>
      </c>
      <c r="T13" s="10">
        <f t="shared" si="4"/>
        <v>911600008.62</v>
      </c>
      <c r="U13" s="12">
        <f t="shared" si="5"/>
        <v>2</v>
      </c>
      <c r="V13" s="11">
        <f t="shared" si="6"/>
        <v>0.64072167422732862</v>
      </c>
      <c r="W13" s="11">
        <f t="shared" si="7"/>
        <v>0.6326908981193976</v>
      </c>
      <c r="X13" s="11">
        <f t="shared" si="8"/>
        <v>5.9203428816668138E-2</v>
      </c>
      <c r="Y13" s="12">
        <f t="shared" si="9"/>
        <v>60</v>
      </c>
      <c r="Z13" s="12">
        <f t="shared" si="10"/>
        <v>39</v>
      </c>
      <c r="AA13" s="12">
        <f t="shared" si="11"/>
        <v>26</v>
      </c>
      <c r="AB13" s="12">
        <f t="shared" si="12"/>
        <v>4</v>
      </c>
      <c r="AC13" s="5"/>
    </row>
    <row r="14" spans="1:29" x14ac:dyDescent="0.25">
      <c r="A14" s="5" t="s">
        <v>148</v>
      </c>
      <c r="B14" s="6" t="s">
        <v>149</v>
      </c>
      <c r="C14" s="7">
        <v>59837</v>
      </c>
      <c r="D14" s="8">
        <v>460630892.48000002</v>
      </c>
      <c r="E14" s="8">
        <v>498344222.89999998</v>
      </c>
      <c r="F14" s="8">
        <v>498344222.89999998</v>
      </c>
      <c r="G14" s="8">
        <v>159608197.62</v>
      </c>
      <c r="H14" s="8">
        <v>446177691.02999997</v>
      </c>
      <c r="I14" s="8">
        <v>153082250.11000001</v>
      </c>
      <c r="J14" s="8">
        <v>8157546.3700000001</v>
      </c>
      <c r="K14" s="9">
        <v>-0.1487</v>
      </c>
      <c r="L14" s="9">
        <v>1.200000000008925</v>
      </c>
      <c r="M14" s="8">
        <v>9435774.6600000001</v>
      </c>
      <c r="N14" s="5" t="s">
        <v>120</v>
      </c>
      <c r="O14" s="5"/>
      <c r="P14" s="10">
        <f t="shared" si="0"/>
        <v>2667.383017530959</v>
      </c>
      <c r="Q14" s="11">
        <f t="shared" si="1"/>
        <v>0.3202770099173553</v>
      </c>
      <c r="R14" s="10">
        <f t="shared" si="2"/>
        <v>7698.094698597858</v>
      </c>
      <c r="S14" s="11">
        <f t="shared" si="3"/>
        <v>1.0818732113622567</v>
      </c>
      <c r="T14" s="10">
        <f t="shared" si="4"/>
        <v>161239796.48000002</v>
      </c>
      <c r="U14" s="12">
        <f t="shared" si="5"/>
        <v>2</v>
      </c>
      <c r="V14" s="11">
        <f t="shared" si="6"/>
        <v>0.36138022971919193</v>
      </c>
      <c r="W14" s="11">
        <f t="shared" si="7"/>
        <v>0.34309705121430445</v>
      </c>
      <c r="X14" s="11">
        <f t="shared" si="8"/>
        <v>2.0484459062653268E-2</v>
      </c>
      <c r="Y14" s="12">
        <f t="shared" si="9"/>
        <v>37</v>
      </c>
      <c r="Z14" s="12">
        <f t="shared" si="10"/>
        <v>25</v>
      </c>
      <c r="AA14" s="12">
        <f t="shared" si="11"/>
        <v>18</v>
      </c>
      <c r="AB14" s="12">
        <f t="shared" si="12"/>
        <v>81</v>
      </c>
      <c r="AC14" s="5"/>
    </row>
    <row r="15" spans="1:29" x14ac:dyDescent="0.25">
      <c r="A15" s="5" t="s">
        <v>150</v>
      </c>
      <c r="B15" s="6" t="s">
        <v>151</v>
      </c>
      <c r="C15" s="7">
        <v>15070</v>
      </c>
      <c r="D15" s="8">
        <v>123659927.14</v>
      </c>
      <c r="E15" s="8">
        <v>151027244.34999999</v>
      </c>
      <c r="F15" s="8">
        <v>151027244.34999999</v>
      </c>
      <c r="G15" s="8">
        <v>49074792.740000002</v>
      </c>
      <c r="H15" s="8">
        <v>115119101.45999999</v>
      </c>
      <c r="I15" s="8">
        <v>59102316.68</v>
      </c>
      <c r="J15" s="8">
        <v>2100931.2400000002</v>
      </c>
      <c r="K15" s="9">
        <v>-0.33789999999999998</v>
      </c>
      <c r="L15" s="9">
        <v>1.200000000017228</v>
      </c>
      <c r="M15" s="8">
        <v>3069704.68</v>
      </c>
      <c r="N15" s="5" t="s">
        <v>120</v>
      </c>
      <c r="O15" s="5"/>
      <c r="P15" s="10">
        <f t="shared" si="0"/>
        <v>3256.4560544127407</v>
      </c>
      <c r="Q15" s="11">
        <f t="shared" si="1"/>
        <v>0.32493999974117915</v>
      </c>
      <c r="R15" s="10">
        <f t="shared" si="2"/>
        <v>8205.7018672859995</v>
      </c>
      <c r="S15" s="11">
        <f t="shared" si="3"/>
        <v>1.2213111219046444</v>
      </c>
      <c r="T15" s="10">
        <f t="shared" si="4"/>
        <v>61203247.920000002</v>
      </c>
      <c r="U15" s="12">
        <f t="shared" si="5"/>
        <v>2</v>
      </c>
      <c r="V15" s="11">
        <f t="shared" si="6"/>
        <v>0.53165154300015161</v>
      </c>
      <c r="W15" s="11">
        <f t="shared" si="7"/>
        <v>0.51340147664839153</v>
      </c>
      <c r="X15" s="11">
        <f t="shared" si="8"/>
        <v>2.4823762644827319E-2</v>
      </c>
      <c r="Y15" s="12">
        <f t="shared" si="9"/>
        <v>23</v>
      </c>
      <c r="Z15" s="12">
        <f t="shared" si="10"/>
        <v>24</v>
      </c>
      <c r="AA15" s="12">
        <f t="shared" si="11"/>
        <v>3</v>
      </c>
      <c r="AB15" s="12">
        <f t="shared" si="12"/>
        <v>21</v>
      </c>
      <c r="AC15" s="5"/>
    </row>
    <row r="16" spans="1:29" x14ac:dyDescent="0.25">
      <c r="A16" s="5" t="s">
        <v>152</v>
      </c>
      <c r="B16" s="6" t="s">
        <v>153</v>
      </c>
      <c r="C16" s="7">
        <v>519011</v>
      </c>
      <c r="D16" s="8">
        <v>2849669523.6100001</v>
      </c>
      <c r="E16" s="8">
        <v>3075215371.3499999</v>
      </c>
      <c r="F16" s="8">
        <v>3075215371.3499999</v>
      </c>
      <c r="G16" s="8">
        <v>1148304580.8399999</v>
      </c>
      <c r="H16" s="8">
        <v>2630536163.3499999</v>
      </c>
      <c r="I16" s="8">
        <v>1122828731.0999999</v>
      </c>
      <c r="J16" s="8">
        <v>31510616.469999999</v>
      </c>
      <c r="K16" s="9">
        <v>0.21490000000000001</v>
      </c>
      <c r="L16" s="9">
        <v>1.2</v>
      </c>
      <c r="M16" s="8">
        <v>7257598.6600000001</v>
      </c>
      <c r="N16" s="5" t="s">
        <v>120</v>
      </c>
      <c r="O16" s="5"/>
      <c r="P16" s="10">
        <f t="shared" si="0"/>
        <v>2212.4860182924831</v>
      </c>
      <c r="Q16" s="11">
        <f t="shared" si="1"/>
        <v>0.3734062308409643</v>
      </c>
      <c r="R16" s="10">
        <f t="shared" si="2"/>
        <v>5490.5763531216107</v>
      </c>
      <c r="S16" s="11">
        <f t="shared" si="3"/>
        <v>1.0791480716873707</v>
      </c>
      <c r="T16" s="10">
        <f t="shared" si="4"/>
        <v>1154339347.5699999</v>
      </c>
      <c r="U16" s="12">
        <f t="shared" si="5"/>
        <v>2</v>
      </c>
      <c r="V16" s="11">
        <f t="shared" si="6"/>
        <v>0.43882283910514402</v>
      </c>
      <c r="W16" s="11">
        <f t="shared" si="7"/>
        <v>0.42684405815963861</v>
      </c>
      <c r="X16" s="11">
        <f t="shared" si="8"/>
        <v>2.5468211664087894E-3</v>
      </c>
      <c r="Y16" s="12">
        <f t="shared" si="9"/>
        <v>51</v>
      </c>
      <c r="Z16" s="12">
        <f t="shared" si="10"/>
        <v>6</v>
      </c>
      <c r="AA16" s="12">
        <f t="shared" si="11"/>
        <v>20</v>
      </c>
      <c r="AB16" s="12">
        <f t="shared" si="12"/>
        <v>64</v>
      </c>
      <c r="AC16" s="5"/>
    </row>
    <row r="17" spans="1:29" x14ac:dyDescent="0.25">
      <c r="A17" s="5" t="s">
        <v>154</v>
      </c>
      <c r="B17" s="6" t="s">
        <v>155</v>
      </c>
      <c r="C17" s="7">
        <v>19996</v>
      </c>
      <c r="D17" s="8">
        <v>159596041.31999999</v>
      </c>
      <c r="E17" s="8">
        <v>157614700.08000001</v>
      </c>
      <c r="F17" s="8">
        <v>157614700.08000001</v>
      </c>
      <c r="G17" s="8">
        <v>46667363.700000003</v>
      </c>
      <c r="H17" s="8">
        <v>148183111.06999999</v>
      </c>
      <c r="I17" s="8">
        <v>76742751.329999998</v>
      </c>
      <c r="J17" s="8">
        <v>4768868.75</v>
      </c>
      <c r="K17" s="9">
        <v>-0.19389999999999999</v>
      </c>
      <c r="L17" s="9">
        <v>1.2</v>
      </c>
      <c r="M17" s="8">
        <v>736362.66</v>
      </c>
      <c r="N17" s="5" t="s">
        <v>156</v>
      </c>
      <c r="O17" s="5"/>
      <c r="P17" s="10">
        <f t="shared" si="0"/>
        <v>2333.8349519903982</v>
      </c>
      <c r="Q17" s="11">
        <f t="shared" si="1"/>
        <v>0.29608509660782395</v>
      </c>
      <c r="R17" s="10">
        <f t="shared" si="2"/>
        <v>7981.3983456691331</v>
      </c>
      <c r="S17" s="11">
        <f t="shared" si="3"/>
        <v>0.9875852732711129</v>
      </c>
      <c r="T17" s="10">
        <f t="shared" si="4"/>
        <v>81511620.079999998</v>
      </c>
      <c r="U17" s="12">
        <f t="shared" si="5"/>
        <v>2</v>
      </c>
      <c r="V17" s="11">
        <f t="shared" si="6"/>
        <v>0.55007361831872226</v>
      </c>
      <c r="W17" s="11">
        <f t="shared" si="7"/>
        <v>0.51789134926278879</v>
      </c>
      <c r="X17" s="11">
        <f t="shared" si="8"/>
        <v>4.6139155702712396E-3</v>
      </c>
      <c r="Y17" s="12">
        <f t="shared" si="9"/>
        <v>46</v>
      </c>
      <c r="Z17" s="12">
        <f t="shared" si="10"/>
        <v>44</v>
      </c>
      <c r="AA17" s="12">
        <f t="shared" si="11"/>
        <v>70</v>
      </c>
      <c r="AB17" s="12">
        <f t="shared" si="12"/>
        <v>14</v>
      </c>
      <c r="AC17" s="5" t="s">
        <v>157</v>
      </c>
    </row>
    <row r="18" spans="1:29" x14ac:dyDescent="0.25">
      <c r="A18" s="5" t="s">
        <v>158</v>
      </c>
      <c r="B18" s="6" t="s">
        <v>159</v>
      </c>
      <c r="C18" s="7">
        <v>14325</v>
      </c>
      <c r="D18" s="8">
        <v>229695174.33000001</v>
      </c>
      <c r="E18" s="8">
        <v>265153262.88999999</v>
      </c>
      <c r="F18" s="8">
        <v>265153262.88999999</v>
      </c>
      <c r="G18" s="8">
        <v>91552160.989999995</v>
      </c>
      <c r="H18" s="8">
        <v>228286260.53</v>
      </c>
      <c r="I18" s="8">
        <v>98457958.810000002</v>
      </c>
      <c r="J18" s="8">
        <v>3294453.41</v>
      </c>
      <c r="K18" s="9">
        <v>0.37380000000000002</v>
      </c>
      <c r="L18" s="9">
        <v>1.199999999991274</v>
      </c>
      <c r="M18" s="8">
        <v>40061929.710000001</v>
      </c>
      <c r="N18" s="5" t="s">
        <v>120</v>
      </c>
      <c r="O18" s="5"/>
      <c r="P18" s="10">
        <f t="shared" si="0"/>
        <v>6391.0758108202435</v>
      </c>
      <c r="Q18" s="11">
        <f t="shared" si="1"/>
        <v>0.34528015982960319</v>
      </c>
      <c r="R18" s="10">
        <f t="shared" si="2"/>
        <v>16034.567143455499</v>
      </c>
      <c r="S18" s="11">
        <f t="shared" si="3"/>
        <v>1.1543701937292674</v>
      </c>
      <c r="T18" s="10">
        <f t="shared" si="4"/>
        <v>101752412.22</v>
      </c>
      <c r="U18" s="12">
        <f t="shared" si="5"/>
        <v>2</v>
      </c>
      <c r="V18" s="11">
        <f t="shared" si="6"/>
        <v>0.44572289188042619</v>
      </c>
      <c r="W18" s="11">
        <f t="shared" si="7"/>
        <v>0.43129165365193434</v>
      </c>
      <c r="X18" s="11">
        <f t="shared" si="8"/>
        <v>0.17441345830123342</v>
      </c>
      <c r="Y18" s="12">
        <f t="shared" si="9"/>
        <v>2</v>
      </c>
      <c r="Z18" s="12">
        <f t="shared" si="10"/>
        <v>11</v>
      </c>
      <c r="AA18" s="12">
        <f t="shared" si="11"/>
        <v>7</v>
      </c>
      <c r="AB18" s="12">
        <f t="shared" si="12"/>
        <v>58</v>
      </c>
      <c r="AC18" s="5"/>
    </row>
    <row r="19" spans="1:29" x14ac:dyDescent="0.25">
      <c r="A19" s="5" t="s">
        <v>160</v>
      </c>
      <c r="B19" s="6" t="s">
        <v>161</v>
      </c>
      <c r="C19" s="7">
        <v>13403</v>
      </c>
      <c r="D19" s="8">
        <v>130167871.89</v>
      </c>
      <c r="E19" s="8">
        <v>115973071.91</v>
      </c>
      <c r="F19" s="8">
        <v>115973071.91</v>
      </c>
      <c r="G19" s="8">
        <v>36042006.810000002</v>
      </c>
      <c r="H19" s="8">
        <v>112302724.81</v>
      </c>
      <c r="I19" s="8">
        <v>52685718.689999998</v>
      </c>
      <c r="J19" s="8">
        <v>3026794.2</v>
      </c>
      <c r="K19" s="9">
        <v>3.5999999999999999E-3</v>
      </c>
      <c r="L19" s="9">
        <v>1.1999999999823681</v>
      </c>
      <c r="M19" s="8">
        <v>7014030.9199999999</v>
      </c>
      <c r="N19" s="5" t="s">
        <v>120</v>
      </c>
      <c r="O19" s="5"/>
      <c r="P19" s="10">
        <f t="shared" si="0"/>
        <v>2689.0999634410209</v>
      </c>
      <c r="Q19" s="11">
        <f t="shared" si="1"/>
        <v>0.31077909911682017</v>
      </c>
      <c r="R19" s="10">
        <f t="shared" si="2"/>
        <v>9711.8459964187114</v>
      </c>
      <c r="S19" s="11">
        <f t="shared" si="3"/>
        <v>0.89095004954835932</v>
      </c>
      <c r="T19" s="10">
        <f t="shared" si="4"/>
        <v>55712512.890000001</v>
      </c>
      <c r="U19" s="12">
        <f t="shared" si="5"/>
        <v>2</v>
      </c>
      <c r="V19" s="11">
        <f t="shared" si="6"/>
        <v>0.49609226298166431</v>
      </c>
      <c r="W19" s="11">
        <f t="shared" si="7"/>
        <v>0.46914016359920585</v>
      </c>
      <c r="X19" s="11">
        <f t="shared" si="8"/>
        <v>5.3884501745002755E-2</v>
      </c>
      <c r="Y19" s="12">
        <f t="shared" si="9"/>
        <v>35</v>
      </c>
      <c r="Z19" s="12">
        <f t="shared" si="10"/>
        <v>32</v>
      </c>
      <c r="AA19" s="12">
        <f t="shared" si="11"/>
        <v>88</v>
      </c>
      <c r="AB19" s="12">
        <f t="shared" si="12"/>
        <v>40</v>
      </c>
      <c r="AC19" s="5"/>
    </row>
    <row r="20" spans="1:29" x14ac:dyDescent="0.25">
      <c r="A20" s="5" t="s">
        <v>162</v>
      </c>
      <c r="B20" s="6" t="s">
        <v>163</v>
      </c>
      <c r="C20" s="7">
        <v>17740</v>
      </c>
      <c r="D20" s="8">
        <v>150054991.71000001</v>
      </c>
      <c r="E20" s="8">
        <v>134912558.72999999</v>
      </c>
      <c r="F20" s="8">
        <v>134912558.72999999</v>
      </c>
      <c r="G20" s="8">
        <v>44455465.700000003</v>
      </c>
      <c r="H20" s="8">
        <v>126201235.27</v>
      </c>
      <c r="I20" s="8">
        <v>56927602.840000004</v>
      </c>
      <c r="J20" s="8">
        <v>2987454.54</v>
      </c>
      <c r="K20" s="9">
        <v>-0.1575</v>
      </c>
      <c r="L20" s="9">
        <v>0.2134064098689705</v>
      </c>
      <c r="M20" s="8">
        <v>4147242.7</v>
      </c>
      <c r="N20" s="5" t="s">
        <v>120</v>
      </c>
      <c r="O20" s="5"/>
      <c r="P20" s="10">
        <f t="shared" si="0"/>
        <v>2505.9450789177004</v>
      </c>
      <c r="Q20" s="11">
        <f t="shared" si="1"/>
        <v>0.32951317593025986</v>
      </c>
      <c r="R20" s="10">
        <f t="shared" si="2"/>
        <v>8458.5677401352877</v>
      </c>
      <c r="S20" s="11">
        <f t="shared" si="3"/>
        <v>0.89908744249398476</v>
      </c>
      <c r="T20" s="10">
        <f t="shared" si="4"/>
        <v>59915057.380000003</v>
      </c>
      <c r="U20" s="12">
        <f t="shared" si="5"/>
        <v>2</v>
      </c>
      <c r="V20" s="11">
        <f t="shared" si="6"/>
        <v>0.47475808974306249</v>
      </c>
      <c r="W20" s="11">
        <f t="shared" si="7"/>
        <v>0.45108593999263796</v>
      </c>
      <c r="X20" s="11">
        <f t="shared" si="8"/>
        <v>2.7638152204993379E-2</v>
      </c>
      <c r="Y20" s="12">
        <f t="shared" si="9"/>
        <v>42</v>
      </c>
      <c r="Z20" s="12">
        <f t="shared" si="10"/>
        <v>23</v>
      </c>
      <c r="AA20" s="12">
        <f t="shared" si="11"/>
        <v>87</v>
      </c>
      <c r="AB20" s="12">
        <f t="shared" si="12"/>
        <v>46</v>
      </c>
      <c r="AC20" s="5" t="s">
        <v>107</v>
      </c>
    </row>
    <row r="21" spans="1:29" x14ac:dyDescent="0.25">
      <c r="A21" s="5" t="s">
        <v>164</v>
      </c>
      <c r="B21" s="6" t="s">
        <v>165</v>
      </c>
      <c r="C21" s="7">
        <v>48563</v>
      </c>
      <c r="D21" s="8">
        <v>548248930.53999996</v>
      </c>
      <c r="E21" s="8">
        <v>577483144.67999995</v>
      </c>
      <c r="F21" s="8">
        <v>598023009.88</v>
      </c>
      <c r="G21" s="8">
        <v>126700016.17</v>
      </c>
      <c r="H21" s="8">
        <v>497781397.01999998</v>
      </c>
      <c r="I21" s="8">
        <v>219133913.22999999</v>
      </c>
      <c r="J21" s="8">
        <v>7810745.6600000001</v>
      </c>
      <c r="K21" s="9">
        <v>-0.11409999999999999</v>
      </c>
      <c r="L21" s="9">
        <v>1.1999999999959969</v>
      </c>
      <c r="M21" s="8">
        <v>249644.68</v>
      </c>
      <c r="N21" s="5" t="s">
        <v>120</v>
      </c>
      <c r="O21" s="5"/>
      <c r="P21" s="10">
        <f t="shared" si="0"/>
        <v>2608.9824798715072</v>
      </c>
      <c r="Q21" s="11">
        <f t="shared" si="1"/>
        <v>0.21186478459319447</v>
      </c>
      <c r="R21" s="10">
        <f t="shared" si="2"/>
        <v>11289.437031073039</v>
      </c>
      <c r="S21" s="11">
        <f t="shared" si="3"/>
        <v>1.0533228840249731</v>
      </c>
      <c r="T21" s="10">
        <f t="shared" si="4"/>
        <v>226944658.88999999</v>
      </c>
      <c r="U21" s="12">
        <f t="shared" si="5"/>
        <v>2</v>
      </c>
      <c r="V21" s="11">
        <f t="shared" si="6"/>
        <v>0.45591229453052812</v>
      </c>
      <c r="W21" s="11">
        <f t="shared" si="7"/>
        <v>0.44022117849694486</v>
      </c>
      <c r="X21" s="11">
        <f t="shared" si="8"/>
        <v>4.5534914177417814E-4</v>
      </c>
      <c r="Y21" s="12">
        <f t="shared" si="9"/>
        <v>39</v>
      </c>
      <c r="Z21" s="12">
        <f t="shared" si="10"/>
        <v>85</v>
      </c>
      <c r="AA21" s="12">
        <f t="shared" si="11"/>
        <v>29</v>
      </c>
      <c r="AB21" s="12">
        <f t="shared" si="12"/>
        <v>53</v>
      </c>
      <c r="AC21" s="5"/>
    </row>
    <row r="22" spans="1:29" x14ac:dyDescent="0.25">
      <c r="A22" s="5" t="s">
        <v>166</v>
      </c>
      <c r="B22" s="6" t="s">
        <v>167</v>
      </c>
      <c r="C22" s="7">
        <v>9044</v>
      </c>
      <c r="D22" s="8">
        <v>88148636.280000001</v>
      </c>
      <c r="E22" s="8">
        <v>99753824.530000001</v>
      </c>
      <c r="F22" s="8">
        <v>99753824.530000001</v>
      </c>
      <c r="G22" s="8">
        <v>25730883.190000001</v>
      </c>
      <c r="H22" s="8">
        <v>88539848.659999996</v>
      </c>
      <c r="I22" s="8">
        <v>42223257.07</v>
      </c>
      <c r="J22" s="8">
        <v>2560203.69</v>
      </c>
      <c r="K22" s="9">
        <v>0.13980000000000001</v>
      </c>
      <c r="L22" s="9">
        <v>1.199999999977631</v>
      </c>
      <c r="M22" s="8">
        <v>3145553.24</v>
      </c>
      <c r="N22" s="5" t="s">
        <v>120</v>
      </c>
      <c r="O22" s="5"/>
      <c r="P22" s="10">
        <f t="shared" si="0"/>
        <v>2845.0777521008404</v>
      </c>
      <c r="Q22" s="11">
        <f t="shared" si="1"/>
        <v>0.25794382632679597</v>
      </c>
      <c r="R22" s="10">
        <f t="shared" si="2"/>
        <v>9746.6426669615212</v>
      </c>
      <c r="S22" s="11">
        <f t="shared" si="3"/>
        <v>1.131654767898356</v>
      </c>
      <c r="T22" s="10">
        <f t="shared" si="4"/>
        <v>44783460.759999998</v>
      </c>
      <c r="U22" s="12">
        <f t="shared" si="5"/>
        <v>2</v>
      </c>
      <c r="V22" s="11">
        <f t="shared" si="6"/>
        <v>0.50580005994783228</v>
      </c>
      <c r="W22" s="11">
        <f t="shared" si="7"/>
        <v>0.47688422455001744</v>
      </c>
      <c r="X22" s="11">
        <f t="shared" si="8"/>
        <v>3.5684650072274497E-2</v>
      </c>
      <c r="Y22" s="12">
        <f t="shared" si="9"/>
        <v>31</v>
      </c>
      <c r="Z22" s="12">
        <f t="shared" si="10"/>
        <v>64</v>
      </c>
      <c r="AA22" s="12">
        <f t="shared" si="11"/>
        <v>9</v>
      </c>
      <c r="AB22" s="12">
        <f t="shared" si="12"/>
        <v>35</v>
      </c>
      <c r="AC22" s="5"/>
    </row>
    <row r="23" spans="1:29" x14ac:dyDescent="0.25">
      <c r="A23" s="5" t="s">
        <v>168</v>
      </c>
      <c r="B23" s="6" t="s">
        <v>169</v>
      </c>
      <c r="C23" s="7">
        <v>21769</v>
      </c>
      <c r="D23" s="8">
        <v>142436278.87</v>
      </c>
      <c r="E23" s="8">
        <v>143376689.71000001</v>
      </c>
      <c r="F23" s="8">
        <v>143376689.71000001</v>
      </c>
      <c r="G23" s="8">
        <v>40668890.869999997</v>
      </c>
      <c r="H23" s="8">
        <v>134061601.33</v>
      </c>
      <c r="I23" s="8">
        <v>58868353.25</v>
      </c>
      <c r="J23" s="8">
        <v>3354218.45</v>
      </c>
      <c r="K23" s="9">
        <v>-0.12559999999999999</v>
      </c>
      <c r="L23" s="9">
        <v>1.2</v>
      </c>
      <c r="M23" s="8">
        <v>2151949.38</v>
      </c>
      <c r="N23" s="5" t="s">
        <v>120</v>
      </c>
      <c r="O23" s="5"/>
      <c r="P23" s="10">
        <f t="shared" si="0"/>
        <v>1868.2020703753042</v>
      </c>
      <c r="Q23" s="11">
        <f t="shared" si="1"/>
        <v>0.28365064748153052</v>
      </c>
      <c r="R23" s="10">
        <f t="shared" si="2"/>
        <v>6543.0786379714273</v>
      </c>
      <c r="S23" s="11">
        <f t="shared" si="3"/>
        <v>1.0066023266506303</v>
      </c>
      <c r="T23" s="10">
        <f t="shared" si="4"/>
        <v>62222571.700000003</v>
      </c>
      <c r="U23" s="12">
        <f t="shared" si="5"/>
        <v>2</v>
      </c>
      <c r="V23" s="11">
        <f t="shared" si="6"/>
        <v>0.46413418221699237</v>
      </c>
      <c r="W23" s="11">
        <f t="shared" si="7"/>
        <v>0.43911420321686528</v>
      </c>
      <c r="X23" s="11">
        <f t="shared" si="8"/>
        <v>1.5108155008486708E-2</v>
      </c>
      <c r="Y23" s="12">
        <f t="shared" si="9"/>
        <v>66</v>
      </c>
      <c r="Z23" s="12">
        <f t="shared" si="10"/>
        <v>52</v>
      </c>
      <c r="AA23" s="12">
        <f t="shared" si="11"/>
        <v>56</v>
      </c>
      <c r="AB23" s="12">
        <f t="shared" si="12"/>
        <v>48</v>
      </c>
      <c r="AC23" s="5" t="s">
        <v>141</v>
      </c>
    </row>
    <row r="24" spans="1:29" x14ac:dyDescent="0.25">
      <c r="A24" s="5" t="s">
        <v>170</v>
      </c>
      <c r="B24" s="6" t="s">
        <v>171</v>
      </c>
      <c r="C24" s="7">
        <v>21444</v>
      </c>
      <c r="D24" s="8">
        <v>148640723.00999999</v>
      </c>
      <c r="E24" s="8">
        <v>157045599.96000001</v>
      </c>
      <c r="F24" s="8">
        <v>157045599.96000001</v>
      </c>
      <c r="G24" s="8">
        <v>47324006.560000002</v>
      </c>
      <c r="H24" s="8">
        <v>139952410.13</v>
      </c>
      <c r="I24" s="8">
        <v>61930497.920000002</v>
      </c>
      <c r="J24" s="8">
        <v>3908535.68</v>
      </c>
      <c r="K24" s="9">
        <v>0.1928</v>
      </c>
      <c r="L24" s="9">
        <v>1.2</v>
      </c>
      <c r="M24" s="8">
        <v>552443.84</v>
      </c>
      <c r="N24" s="5" t="s">
        <v>120</v>
      </c>
      <c r="O24" s="5"/>
      <c r="P24" s="10">
        <f t="shared" si="0"/>
        <v>2206.8646968849098</v>
      </c>
      <c r="Q24" s="11">
        <f t="shared" si="1"/>
        <v>0.30133927070897604</v>
      </c>
      <c r="R24" s="10">
        <f t="shared" si="2"/>
        <v>6931.5763388360374</v>
      </c>
      <c r="S24" s="11">
        <f t="shared" si="3"/>
        <v>1.0565449143397572</v>
      </c>
      <c r="T24" s="10">
        <f t="shared" si="4"/>
        <v>65839033.600000001</v>
      </c>
      <c r="U24" s="12">
        <f t="shared" si="5"/>
        <v>2</v>
      </c>
      <c r="V24" s="11">
        <f t="shared" si="6"/>
        <v>0.47043872655599833</v>
      </c>
      <c r="W24" s="11">
        <f t="shared" si="7"/>
        <v>0.44251112119093594</v>
      </c>
      <c r="X24" s="11">
        <f t="shared" si="8"/>
        <v>3.7166385416655544E-3</v>
      </c>
      <c r="Y24" s="12">
        <f t="shared" si="9"/>
        <v>52</v>
      </c>
      <c r="Z24" s="12">
        <f t="shared" si="10"/>
        <v>40</v>
      </c>
      <c r="AA24" s="12">
        <f t="shared" si="11"/>
        <v>28</v>
      </c>
      <c r="AB24" s="12">
        <f t="shared" si="12"/>
        <v>47</v>
      </c>
      <c r="AC24" s="5" t="s">
        <v>141</v>
      </c>
    </row>
    <row r="25" spans="1:29" x14ac:dyDescent="0.25">
      <c r="A25" s="5" t="s">
        <v>172</v>
      </c>
      <c r="B25" s="6" t="s">
        <v>173</v>
      </c>
      <c r="C25" s="7">
        <v>11354</v>
      </c>
      <c r="D25" s="8">
        <v>96789026.090000004</v>
      </c>
      <c r="E25" s="8">
        <v>96859998.030000001</v>
      </c>
      <c r="F25" s="8">
        <v>96859998.030000001</v>
      </c>
      <c r="G25" s="8">
        <v>25648862.039999999</v>
      </c>
      <c r="H25" s="8">
        <v>96536660.090000004</v>
      </c>
      <c r="I25" s="8">
        <v>40330928.869999997</v>
      </c>
      <c r="J25" s="8">
        <v>2515507.7400000002</v>
      </c>
      <c r="K25" s="9">
        <v>0.58560000000000001</v>
      </c>
      <c r="L25" s="9">
        <v>1.2</v>
      </c>
      <c r="M25" s="8">
        <v>1144981.49</v>
      </c>
      <c r="N25" s="5" t="s">
        <v>120</v>
      </c>
      <c r="O25" s="5"/>
      <c r="P25" s="10">
        <f t="shared" si="0"/>
        <v>2259.0155046679583</v>
      </c>
      <c r="Q25" s="11">
        <f t="shared" si="1"/>
        <v>0.26480345407456951</v>
      </c>
      <c r="R25" s="10">
        <f t="shared" si="2"/>
        <v>8524.6632103223528</v>
      </c>
      <c r="S25" s="11">
        <f t="shared" si="3"/>
        <v>1.0007332643262057</v>
      </c>
      <c r="T25" s="10">
        <f t="shared" si="4"/>
        <v>42846436.609999999</v>
      </c>
      <c r="U25" s="12">
        <f t="shared" si="5"/>
        <v>2</v>
      </c>
      <c r="V25" s="11">
        <f t="shared" si="6"/>
        <v>0.44383591238866937</v>
      </c>
      <c r="W25" s="11">
        <f t="shared" si="7"/>
        <v>0.41777837385714339</v>
      </c>
      <c r="X25" s="11">
        <f t="shared" si="8"/>
        <v>1.1829662269101978E-2</v>
      </c>
      <c r="Y25" s="12">
        <f t="shared" si="9"/>
        <v>48</v>
      </c>
      <c r="Z25" s="12">
        <f t="shared" si="10"/>
        <v>59</v>
      </c>
      <c r="AA25" s="12">
        <f t="shared" si="11"/>
        <v>60</v>
      </c>
      <c r="AB25" s="12">
        <f t="shared" si="12"/>
        <v>60</v>
      </c>
      <c r="AC25" s="5" t="s">
        <v>141</v>
      </c>
    </row>
    <row r="26" spans="1:29" x14ac:dyDescent="0.25">
      <c r="A26" s="5" t="s">
        <v>174</v>
      </c>
      <c r="B26" s="6" t="s">
        <v>175</v>
      </c>
      <c r="C26" s="7">
        <v>866347</v>
      </c>
      <c r="D26" s="8">
        <v>5219524664.6400003</v>
      </c>
      <c r="E26" s="8">
        <v>5049175932.6999998</v>
      </c>
      <c r="F26" s="8">
        <v>5049175932.6999998</v>
      </c>
      <c r="G26" s="8">
        <v>1876480021.5</v>
      </c>
      <c r="H26" s="8">
        <v>4886535618.4899998</v>
      </c>
      <c r="I26" s="8">
        <v>1561688514</v>
      </c>
      <c r="J26" s="8">
        <v>85160949.969999999</v>
      </c>
      <c r="K26" s="9">
        <v>2.5999999999999999E-2</v>
      </c>
      <c r="L26" s="9">
        <v>1.1999999999983879</v>
      </c>
      <c r="M26" s="8">
        <v>33958143.090000004</v>
      </c>
      <c r="N26" s="5" t="s">
        <v>120</v>
      </c>
      <c r="O26" s="5"/>
      <c r="P26" s="10">
        <f t="shared" si="0"/>
        <v>2165.9681646037902</v>
      </c>
      <c r="Q26" s="11">
        <f t="shared" si="1"/>
        <v>0.37164084724149626</v>
      </c>
      <c r="R26" s="10">
        <f t="shared" si="2"/>
        <v>6024.7506653107821</v>
      </c>
      <c r="S26" s="11">
        <f t="shared" si="3"/>
        <v>0.96736317138339456</v>
      </c>
      <c r="T26" s="10">
        <f t="shared" si="4"/>
        <v>1646849463.97</v>
      </c>
      <c r="U26" s="12">
        <f t="shared" si="5"/>
        <v>2</v>
      </c>
      <c r="V26" s="11">
        <f t="shared" si="6"/>
        <v>0.33701779594904435</v>
      </c>
      <c r="W26" s="11">
        <f t="shared" si="7"/>
        <v>0.31959012190370184</v>
      </c>
      <c r="X26" s="11">
        <f t="shared" si="8"/>
        <v>6.5059838341317913E-3</v>
      </c>
      <c r="Y26" s="12">
        <f t="shared" si="9"/>
        <v>53</v>
      </c>
      <c r="Z26" s="12">
        <f t="shared" si="10"/>
        <v>7</v>
      </c>
      <c r="AA26" s="12">
        <f t="shared" si="11"/>
        <v>74</v>
      </c>
      <c r="AB26" s="12">
        <f t="shared" si="12"/>
        <v>85</v>
      </c>
      <c r="AC26" s="5"/>
    </row>
    <row r="27" spans="1:29" x14ac:dyDescent="0.25">
      <c r="A27" s="5" t="s">
        <v>176</v>
      </c>
      <c r="B27" s="6" t="s">
        <v>177</v>
      </c>
      <c r="C27" s="7">
        <v>12648</v>
      </c>
      <c r="D27" s="8">
        <v>107029591.62</v>
      </c>
      <c r="E27" s="8">
        <v>125623567.93000001</v>
      </c>
      <c r="F27" s="8">
        <v>125623567.93000001</v>
      </c>
      <c r="G27" s="8">
        <v>38622636.670000002</v>
      </c>
      <c r="H27" s="8">
        <v>107029591.62</v>
      </c>
      <c r="I27" s="8">
        <v>65528360.899999999</v>
      </c>
      <c r="J27" s="8">
        <v>2606640.36</v>
      </c>
      <c r="K27" s="9">
        <v>-8.929999999999999E-2</v>
      </c>
      <c r="L27" s="9">
        <v>1.199999999962627</v>
      </c>
      <c r="M27" s="8">
        <v>7842599.3300000001</v>
      </c>
      <c r="N27" s="5" t="s">
        <v>120</v>
      </c>
      <c r="O27" s="5"/>
      <c r="P27" s="10">
        <f t="shared" si="0"/>
        <v>3053.6556506957622</v>
      </c>
      <c r="Q27" s="11">
        <f t="shared" si="1"/>
        <v>0.30744737875556372</v>
      </c>
      <c r="R27" s="10">
        <f t="shared" si="2"/>
        <v>8462.1751755218229</v>
      </c>
      <c r="S27" s="11">
        <f t="shared" si="3"/>
        <v>1.1737274339606605</v>
      </c>
      <c r="T27" s="10">
        <f t="shared" si="4"/>
        <v>68135001.260000005</v>
      </c>
      <c r="U27" s="12">
        <f t="shared" si="5"/>
        <v>2</v>
      </c>
      <c r="V27" s="11">
        <f t="shared" si="6"/>
        <v>0.63659965649413919</v>
      </c>
      <c r="W27" s="11">
        <f t="shared" si="7"/>
        <v>0.6122452670159968</v>
      </c>
      <c r="X27" s="11">
        <f t="shared" si="8"/>
        <v>7.3275056097051372E-2</v>
      </c>
      <c r="Y27" s="12">
        <f t="shared" si="9"/>
        <v>27</v>
      </c>
      <c r="Z27" s="12">
        <f t="shared" si="10"/>
        <v>35</v>
      </c>
      <c r="AA27" s="12">
        <f t="shared" si="11"/>
        <v>5</v>
      </c>
      <c r="AB27" s="12">
        <f t="shared" si="12"/>
        <v>6</v>
      </c>
      <c r="AC27" s="5"/>
    </row>
    <row r="28" spans="1:29" x14ac:dyDescent="0.25">
      <c r="A28" s="5" t="s">
        <v>178</v>
      </c>
      <c r="B28" s="6" t="s">
        <v>179</v>
      </c>
      <c r="C28" s="7">
        <v>54300</v>
      </c>
      <c r="D28" s="8">
        <v>460276234.73000002</v>
      </c>
      <c r="E28" s="8">
        <v>507184031.52999997</v>
      </c>
      <c r="F28" s="8">
        <v>507184031.52999997</v>
      </c>
      <c r="G28" s="8">
        <v>131270992.37</v>
      </c>
      <c r="H28" s="8">
        <v>450734569.54000002</v>
      </c>
      <c r="I28" s="8">
        <v>192753244.75999999</v>
      </c>
      <c r="J28" s="8">
        <v>7048784.3300000001</v>
      </c>
      <c r="K28" s="9">
        <v>-0.41270000000000001</v>
      </c>
      <c r="L28" s="9">
        <v>1.2000000000044211</v>
      </c>
      <c r="M28" s="8">
        <v>7567312.9299999997</v>
      </c>
      <c r="N28" s="5" t="s">
        <v>120</v>
      </c>
      <c r="O28" s="5"/>
      <c r="P28" s="10">
        <f t="shared" si="0"/>
        <v>2417.5136716390425</v>
      </c>
      <c r="Q28" s="11">
        <f t="shared" si="1"/>
        <v>0.25882319672802101</v>
      </c>
      <c r="R28" s="10">
        <f t="shared" si="2"/>
        <v>8476.5420760589313</v>
      </c>
      <c r="S28" s="11">
        <f t="shared" si="3"/>
        <v>1.1019122719371255</v>
      </c>
      <c r="T28" s="10">
        <f t="shared" si="4"/>
        <v>199802029.09</v>
      </c>
      <c r="U28" s="12">
        <f t="shared" si="5"/>
        <v>2</v>
      </c>
      <c r="V28" s="11">
        <f t="shared" si="6"/>
        <v>0.44328090763907729</v>
      </c>
      <c r="W28" s="11">
        <f t="shared" si="7"/>
        <v>0.42764247028293284</v>
      </c>
      <c r="X28" s="11">
        <f t="shared" si="8"/>
        <v>1.6440807408705377E-2</v>
      </c>
      <c r="Y28" s="12">
        <f t="shared" si="9"/>
        <v>44</v>
      </c>
      <c r="Z28" s="12">
        <f t="shared" si="10"/>
        <v>63</v>
      </c>
      <c r="AA28" s="12">
        <f t="shared" si="11"/>
        <v>14</v>
      </c>
      <c r="AB28" s="12">
        <f t="shared" si="12"/>
        <v>61</v>
      </c>
      <c r="AC28" s="5"/>
    </row>
    <row r="29" spans="1:29" x14ac:dyDescent="0.25">
      <c r="A29" s="5" t="s">
        <v>180</v>
      </c>
      <c r="B29" s="6" t="s">
        <v>181</v>
      </c>
      <c r="C29" s="7">
        <v>29577</v>
      </c>
      <c r="D29" s="8">
        <v>406089024.23000002</v>
      </c>
      <c r="E29" s="8">
        <v>402040362</v>
      </c>
      <c r="F29" s="8">
        <v>402040362</v>
      </c>
      <c r="G29" s="8">
        <v>91707251.209999993</v>
      </c>
      <c r="H29" s="8">
        <v>390779926.31999999</v>
      </c>
      <c r="I29" s="8">
        <v>141910078.13999999</v>
      </c>
      <c r="J29" s="8">
        <v>4133787.23</v>
      </c>
      <c r="K29" s="9">
        <v>-8.9499999999999996E-2</v>
      </c>
      <c r="L29" s="9">
        <v>1.19277534238474</v>
      </c>
      <c r="M29" s="8">
        <v>458248.56</v>
      </c>
      <c r="N29" s="5" t="s">
        <v>120</v>
      </c>
      <c r="O29" s="5"/>
      <c r="P29" s="10">
        <f t="shared" si="0"/>
        <v>3100.627217432464</v>
      </c>
      <c r="Q29" s="11">
        <f t="shared" si="1"/>
        <v>0.22810458819057575</v>
      </c>
      <c r="R29" s="10">
        <f t="shared" si="2"/>
        <v>13729.892288940731</v>
      </c>
      <c r="S29" s="11">
        <f t="shared" si="3"/>
        <v>0.9900301116542688</v>
      </c>
      <c r="T29" s="10">
        <f t="shared" si="4"/>
        <v>146043865.36999997</v>
      </c>
      <c r="U29" s="12">
        <f t="shared" si="5"/>
        <v>2</v>
      </c>
      <c r="V29" s="11">
        <f t="shared" si="6"/>
        <v>0.37372407212751318</v>
      </c>
      <c r="W29" s="11">
        <f t="shared" si="7"/>
        <v>0.36314577229280026</v>
      </c>
      <c r="X29" s="11">
        <f t="shared" si="8"/>
        <v>1.12844359895937E-3</v>
      </c>
      <c r="Y29" s="12">
        <f t="shared" si="9"/>
        <v>26</v>
      </c>
      <c r="Z29" s="12">
        <f t="shared" si="10"/>
        <v>81</v>
      </c>
      <c r="AA29" s="12">
        <f t="shared" si="11"/>
        <v>67</v>
      </c>
      <c r="AB29" s="12">
        <f t="shared" si="12"/>
        <v>80</v>
      </c>
      <c r="AC29" s="5"/>
    </row>
    <row r="30" spans="1:29" x14ac:dyDescent="0.25">
      <c r="A30" s="5" t="s">
        <v>182</v>
      </c>
      <c r="B30" s="6" t="s">
        <v>183</v>
      </c>
      <c r="C30" s="7">
        <v>240040</v>
      </c>
      <c r="D30" s="8">
        <v>1021768398.75</v>
      </c>
      <c r="E30" s="8">
        <v>1183364720.3900001</v>
      </c>
      <c r="F30" s="8">
        <v>1183364720.3900001</v>
      </c>
      <c r="G30" s="8">
        <v>272912041.94999999</v>
      </c>
      <c r="H30" s="8">
        <v>933487429.33000004</v>
      </c>
      <c r="I30" s="8">
        <v>398478933.75</v>
      </c>
      <c r="J30" s="8">
        <v>14055893.210000001</v>
      </c>
      <c r="K30" s="9">
        <v>-0.39839999999999998</v>
      </c>
      <c r="L30" s="9">
        <v>1.1999999999938331</v>
      </c>
      <c r="M30" s="8">
        <v>21148455.530000001</v>
      </c>
      <c r="N30" s="5" t="s">
        <v>120</v>
      </c>
      <c r="O30" s="5"/>
      <c r="P30" s="10">
        <f t="shared" si="0"/>
        <v>1136.944017455424</v>
      </c>
      <c r="Q30" s="11">
        <f t="shared" si="1"/>
        <v>0.23062377747754445</v>
      </c>
      <c r="R30" s="10">
        <f t="shared" si="2"/>
        <v>4256.6588849775035</v>
      </c>
      <c r="S30" s="11">
        <f t="shared" si="3"/>
        <v>1.1581535716290425</v>
      </c>
      <c r="T30" s="10">
        <f t="shared" si="4"/>
        <v>412534826.95999998</v>
      </c>
      <c r="U30" s="12">
        <f t="shared" si="5"/>
        <v>2</v>
      </c>
      <c r="V30" s="11">
        <f t="shared" si="6"/>
        <v>0.44192863663530224</v>
      </c>
      <c r="W30" s="11">
        <f t="shared" si="7"/>
        <v>0.42687123707279456</v>
      </c>
      <c r="X30" s="11">
        <f t="shared" si="8"/>
        <v>2.0697895487737115E-2</v>
      </c>
      <c r="Y30" s="12">
        <f t="shared" si="9"/>
        <v>84</v>
      </c>
      <c r="Z30" s="12">
        <f t="shared" si="10"/>
        <v>80</v>
      </c>
      <c r="AA30" s="12">
        <f t="shared" si="11"/>
        <v>6</v>
      </c>
      <c r="AB30" s="12">
        <f t="shared" si="12"/>
        <v>62</v>
      </c>
      <c r="AC30" s="5"/>
    </row>
    <row r="31" spans="1:29" x14ac:dyDescent="0.25">
      <c r="A31" s="5" t="s">
        <v>184</v>
      </c>
      <c r="B31" s="6" t="s">
        <v>185</v>
      </c>
      <c r="C31" s="7">
        <v>123980</v>
      </c>
      <c r="D31" s="8">
        <v>1037564688.73</v>
      </c>
      <c r="E31" s="8">
        <v>1072574377.87</v>
      </c>
      <c r="F31" s="8">
        <v>1072574377.87</v>
      </c>
      <c r="G31" s="8">
        <v>309610454.82999998</v>
      </c>
      <c r="H31" s="8">
        <v>975719444.75999999</v>
      </c>
      <c r="I31" s="8">
        <v>587171695.16999996</v>
      </c>
      <c r="J31" s="8">
        <v>26170619.66</v>
      </c>
      <c r="K31" s="9">
        <v>7.7800000000000008E-2</v>
      </c>
      <c r="L31" s="9">
        <v>1.19999999999795</v>
      </c>
      <c r="M31" s="8">
        <v>30812892.140000001</v>
      </c>
      <c r="N31" s="5" t="s">
        <v>120</v>
      </c>
      <c r="O31" s="5"/>
      <c r="P31" s="10">
        <f t="shared" si="0"/>
        <v>2497.2612907727053</v>
      </c>
      <c r="Q31" s="11">
        <f t="shared" si="1"/>
        <v>0.28866105812153375</v>
      </c>
      <c r="R31" s="10">
        <f t="shared" si="2"/>
        <v>8368.8069747539921</v>
      </c>
      <c r="S31" s="11">
        <f t="shared" si="3"/>
        <v>1.033742174844879</v>
      </c>
      <c r="T31" s="10">
        <f t="shared" si="4"/>
        <v>613342314.82999992</v>
      </c>
      <c r="U31" s="12">
        <f t="shared" si="5"/>
        <v>2</v>
      </c>
      <c r="V31" s="11">
        <f t="shared" si="6"/>
        <v>0.62860519806578741</v>
      </c>
      <c r="W31" s="11">
        <f t="shared" si="7"/>
        <v>0.60178332852065686</v>
      </c>
      <c r="X31" s="11">
        <f t="shared" si="8"/>
        <v>2.969732150167485E-2</v>
      </c>
      <c r="Y31" s="12">
        <f t="shared" si="9"/>
        <v>43</v>
      </c>
      <c r="Z31" s="12">
        <f t="shared" si="10"/>
        <v>47</v>
      </c>
      <c r="AA31" s="12">
        <f t="shared" si="11"/>
        <v>40</v>
      </c>
      <c r="AB31" s="12">
        <f t="shared" si="12"/>
        <v>7</v>
      </c>
      <c r="AC31" s="5"/>
    </row>
    <row r="32" spans="1:29" x14ac:dyDescent="0.25">
      <c r="A32" s="5" t="s">
        <v>186</v>
      </c>
      <c r="B32" s="6" t="s">
        <v>187</v>
      </c>
      <c r="C32" s="7">
        <v>14517</v>
      </c>
      <c r="D32" s="8">
        <v>131624134.39</v>
      </c>
      <c r="E32" s="8">
        <v>142005737.21000001</v>
      </c>
      <c r="F32" s="8">
        <v>142005737.21000001</v>
      </c>
      <c r="G32" s="8">
        <v>48277339.399999999</v>
      </c>
      <c r="H32" s="8">
        <v>109540534.34</v>
      </c>
      <c r="I32" s="8">
        <v>51998243.009999998</v>
      </c>
      <c r="J32" s="8">
        <v>2905469.9</v>
      </c>
      <c r="K32" s="9">
        <v>-8.3599999999999994E-2</v>
      </c>
      <c r="L32" s="9">
        <v>1.200000000018258</v>
      </c>
      <c r="M32" s="8">
        <v>2287444.71</v>
      </c>
      <c r="N32" s="5" t="s">
        <v>156</v>
      </c>
      <c r="O32" s="5"/>
      <c r="P32" s="10">
        <f t="shared" si="0"/>
        <v>3325.5727354136529</v>
      </c>
      <c r="Q32" s="11">
        <f t="shared" si="1"/>
        <v>0.33996752771056576</v>
      </c>
      <c r="R32" s="10">
        <f t="shared" si="2"/>
        <v>9066.89635530757</v>
      </c>
      <c r="S32" s="11">
        <f t="shared" si="3"/>
        <v>1.0788730947262262</v>
      </c>
      <c r="T32" s="10">
        <f t="shared" si="4"/>
        <v>54903712.909999996</v>
      </c>
      <c r="U32" s="12">
        <f t="shared" si="5"/>
        <v>2</v>
      </c>
      <c r="V32" s="11">
        <f t="shared" si="6"/>
        <v>0.5012182315962217</v>
      </c>
      <c r="W32" s="11">
        <f t="shared" si="7"/>
        <v>0.47469407852808176</v>
      </c>
      <c r="X32" s="11">
        <f t="shared" si="8"/>
        <v>1.7378611609496639E-2</v>
      </c>
      <c r="Y32" s="12">
        <f t="shared" si="9"/>
        <v>20</v>
      </c>
      <c r="Z32" s="12">
        <f t="shared" si="10"/>
        <v>16</v>
      </c>
      <c r="AA32" s="12">
        <f t="shared" si="11"/>
        <v>21</v>
      </c>
      <c r="AB32" s="12">
        <f t="shared" si="12"/>
        <v>37</v>
      </c>
      <c r="AC32" s="5" t="s">
        <v>157</v>
      </c>
    </row>
    <row r="33" spans="1:29" x14ac:dyDescent="0.25">
      <c r="A33" s="5" t="s">
        <v>188</v>
      </c>
      <c r="B33" s="6" t="s">
        <v>189</v>
      </c>
      <c r="C33" s="7">
        <v>23643</v>
      </c>
      <c r="D33" s="8">
        <v>146001505.68000001</v>
      </c>
      <c r="E33" s="8">
        <v>151002113.56</v>
      </c>
      <c r="F33" s="8">
        <v>151002113.56</v>
      </c>
      <c r="G33" s="8">
        <v>45386384.100000001</v>
      </c>
      <c r="H33" s="8">
        <v>138469910.71000001</v>
      </c>
      <c r="I33" s="8">
        <v>73086771.540000007</v>
      </c>
      <c r="J33" s="8">
        <v>2903429.41</v>
      </c>
      <c r="K33" s="9">
        <v>-0.15310000000000001</v>
      </c>
      <c r="L33" s="9">
        <v>1.1999999999856941</v>
      </c>
      <c r="M33" s="8">
        <v>620151.27</v>
      </c>
      <c r="N33" s="5" t="s">
        <v>120</v>
      </c>
      <c r="O33" s="5"/>
      <c r="P33" s="10">
        <f t="shared" si="0"/>
        <v>1919.6541936302501</v>
      </c>
      <c r="Q33" s="11">
        <f t="shared" si="1"/>
        <v>0.30056787305805444</v>
      </c>
      <c r="R33" s="10">
        <f t="shared" si="2"/>
        <v>6175.2529577464793</v>
      </c>
      <c r="S33" s="11">
        <f t="shared" si="3"/>
        <v>1.0342503856841045</v>
      </c>
      <c r="T33" s="10">
        <f t="shared" si="4"/>
        <v>75990200.950000003</v>
      </c>
      <c r="U33" s="12">
        <f t="shared" si="5"/>
        <v>2</v>
      </c>
      <c r="V33" s="11">
        <f t="shared" si="6"/>
        <v>0.54878493501124315</v>
      </c>
      <c r="W33" s="11">
        <f t="shared" si="7"/>
        <v>0.527816990458432</v>
      </c>
      <c r="X33" s="11">
        <f t="shared" si="8"/>
        <v>4.2475676337148304E-3</v>
      </c>
      <c r="Y33" s="12">
        <f t="shared" si="9"/>
        <v>65</v>
      </c>
      <c r="Z33" s="12">
        <f t="shared" si="10"/>
        <v>42</v>
      </c>
      <c r="AA33" s="12">
        <f t="shared" si="11"/>
        <v>39</v>
      </c>
      <c r="AB33" s="12">
        <f t="shared" si="12"/>
        <v>17</v>
      </c>
      <c r="AC33" s="5"/>
    </row>
    <row r="34" spans="1:29" x14ac:dyDescent="0.25">
      <c r="A34" s="21" t="s">
        <v>190</v>
      </c>
      <c r="B34" s="22" t="s">
        <v>191</v>
      </c>
      <c r="C34" s="23">
        <v>107246</v>
      </c>
      <c r="D34" s="24">
        <v>601175508.52999997</v>
      </c>
      <c r="E34" s="24">
        <v>651724449.75</v>
      </c>
      <c r="F34" s="24">
        <v>651724449.75</v>
      </c>
      <c r="G34" s="24">
        <v>302177751.18000001</v>
      </c>
      <c r="H34" s="24">
        <v>189291788.75</v>
      </c>
      <c r="I34" s="24">
        <v>255941872.90000001</v>
      </c>
      <c r="J34" s="24">
        <v>12230742.67</v>
      </c>
      <c r="K34" s="25">
        <v>-0.37609999999999999</v>
      </c>
      <c r="L34" s="25">
        <v>1.2</v>
      </c>
      <c r="M34" s="24">
        <v>66654943.380000003</v>
      </c>
      <c r="N34" s="21" t="s">
        <v>120</v>
      </c>
      <c r="O34" s="21" t="s">
        <v>127</v>
      </c>
      <c r="P34" s="26">
        <f t="shared" ref="P34:P65" si="13">IFERROR(G34/C34,"")</f>
        <v>2817.6132553195457</v>
      </c>
      <c r="Q34" s="27">
        <f t="shared" ref="Q34:Q65" si="14">IFERROR(G34/F34,"")</f>
        <v>0.46365876145342516</v>
      </c>
      <c r="R34" s="26">
        <f t="shared" ref="R34:R65" si="15">IFERROR(D34/C34,"")</f>
        <v>5605.5751126382329</v>
      </c>
      <c r="S34" s="27">
        <f t="shared" ref="S34:S65" si="16">IFERROR(E34/D34,"")</f>
        <v>1.0840835005797271</v>
      </c>
      <c r="T34" s="26">
        <f t="shared" ref="T34:T65" si="17">SUM(I34:J34)</f>
        <v>268172615.56999999</v>
      </c>
      <c r="U34" s="28">
        <f t="shared" ref="U34:U65" si="18">COUNT(I34:J34)</f>
        <v>2</v>
      </c>
      <c r="V34" s="27">
        <f t="shared" ref="V34:V65" si="19">IFERROR(T34/H34,"")</f>
        <v>1.4167155233773974</v>
      </c>
      <c r="W34" s="27">
        <f t="shared" ref="W34:W65" si="20">IFERROR(I34/H34,"")</f>
        <v>1.3521023526172369</v>
      </c>
      <c r="X34" s="27">
        <f t="shared" ref="X34:X65" si="21">IF(M34="","",IFERROR(M34/D34,""))</f>
        <v>0.11087434939421484</v>
      </c>
      <c r="Y34" s="28">
        <f t="shared" ref="Y34:Y65" si="22">IFERROR(RANK(P34,P$2:P$93),"")</f>
        <v>33</v>
      </c>
      <c r="Z34" s="28">
        <f t="shared" ref="Z34:Z65" si="23">IFERROR(RANK(Q34,Q$2:Q$93),"")</f>
        <v>2</v>
      </c>
      <c r="AA34" s="28">
        <f t="shared" ref="AA34:AA65" si="24">IFERROR(RANK(S34,S$2:S$93),"")</f>
        <v>17</v>
      </c>
      <c r="AB34" s="28">
        <f t="shared" ref="AB34:AB65" si="25">IF(U34&gt;=2,COUNTIFS(U$2:U$93,"&gt;=2",V$2:V$93,"&gt;"&amp;V34)+1,"n/c")</f>
        <v>2</v>
      </c>
      <c r="AC34" s="21" t="s">
        <v>128</v>
      </c>
    </row>
    <row r="35" spans="1:29" x14ac:dyDescent="0.25">
      <c r="A35" s="5" t="s">
        <v>192</v>
      </c>
      <c r="B35" s="6" t="s">
        <v>193</v>
      </c>
      <c r="C35" s="7">
        <v>32694</v>
      </c>
      <c r="D35" s="8">
        <v>375545584.08999997</v>
      </c>
      <c r="E35" s="8">
        <v>378907689.76999998</v>
      </c>
      <c r="F35" s="8">
        <v>378907433.30000001</v>
      </c>
      <c r="G35" s="8">
        <v>108430898.26000001</v>
      </c>
      <c r="H35" s="8">
        <v>355237891.62</v>
      </c>
      <c r="I35" s="8">
        <v>184956685.06</v>
      </c>
      <c r="J35" s="8">
        <v>10302048.92</v>
      </c>
      <c r="K35" s="9">
        <v>9.0000000000000011E-3</v>
      </c>
      <c r="L35" s="9">
        <v>1.199999999988818</v>
      </c>
      <c r="M35" s="8"/>
      <c r="N35" s="5" t="s">
        <v>120</v>
      </c>
      <c r="O35" s="5"/>
      <c r="P35" s="10">
        <f t="shared" si="13"/>
        <v>3316.5381495075549</v>
      </c>
      <c r="Q35" s="11">
        <f t="shared" si="14"/>
        <v>0.28616725017941208</v>
      </c>
      <c r="R35" s="10">
        <f t="shared" si="15"/>
        <v>11486.682085092065</v>
      </c>
      <c r="S35" s="11">
        <f t="shared" si="16"/>
        <v>1.0089525901047323</v>
      </c>
      <c r="T35" s="10">
        <f t="shared" si="17"/>
        <v>195258733.97999999</v>
      </c>
      <c r="U35" s="12">
        <f t="shared" si="18"/>
        <v>2</v>
      </c>
      <c r="V35" s="11">
        <f t="shared" si="19"/>
        <v>0.54965626861919725</v>
      </c>
      <c r="W35" s="11">
        <f t="shared" si="20"/>
        <v>0.5206558461895423</v>
      </c>
      <c r="X35" s="11" t="str">
        <f t="shared" si="21"/>
        <v/>
      </c>
      <c r="Y35" s="12">
        <f t="shared" si="22"/>
        <v>21</v>
      </c>
      <c r="Z35" s="12">
        <f t="shared" si="23"/>
        <v>50</v>
      </c>
      <c r="AA35" s="12">
        <f t="shared" si="24"/>
        <v>52</v>
      </c>
      <c r="AB35" s="12">
        <f t="shared" si="25"/>
        <v>16</v>
      </c>
      <c r="AC35" s="5" t="s">
        <v>194</v>
      </c>
    </row>
    <row r="36" spans="1:29" x14ac:dyDescent="0.25">
      <c r="A36" s="5" t="s">
        <v>195</v>
      </c>
      <c r="B36" s="6" t="s">
        <v>196</v>
      </c>
      <c r="C36" s="7">
        <v>102149</v>
      </c>
      <c r="D36" s="8">
        <v>390295827.35000002</v>
      </c>
      <c r="E36" s="8">
        <v>425217419.69999999</v>
      </c>
      <c r="F36" s="8">
        <v>425667419.69999999</v>
      </c>
      <c r="G36" s="8">
        <v>135552026.38999999</v>
      </c>
      <c r="H36" s="8">
        <v>375038155.97000003</v>
      </c>
      <c r="I36" s="8">
        <v>144581892.47</v>
      </c>
      <c r="J36" s="8">
        <v>8455121.6300000008</v>
      </c>
      <c r="K36" s="9">
        <v>-0.12720000000000001</v>
      </c>
      <c r="L36" s="9">
        <v>1.199999999989334</v>
      </c>
      <c r="M36" s="8">
        <v>7597812.5499999998</v>
      </c>
      <c r="N36" s="5" t="s">
        <v>120</v>
      </c>
      <c r="O36" s="5"/>
      <c r="P36" s="10">
        <f t="shared" si="13"/>
        <v>1327.0029700731284</v>
      </c>
      <c r="Q36" s="11">
        <f t="shared" si="14"/>
        <v>0.31844585729754404</v>
      </c>
      <c r="R36" s="10">
        <f t="shared" si="15"/>
        <v>3820.8482447209472</v>
      </c>
      <c r="S36" s="11">
        <f t="shared" si="16"/>
        <v>1.0894746751127418</v>
      </c>
      <c r="T36" s="10">
        <f t="shared" si="17"/>
        <v>153037014.09999999</v>
      </c>
      <c r="U36" s="12">
        <f t="shared" si="18"/>
        <v>2</v>
      </c>
      <c r="V36" s="11">
        <f t="shared" si="19"/>
        <v>0.40805718475280073</v>
      </c>
      <c r="W36" s="11">
        <f t="shared" si="20"/>
        <v>0.38551248764556467</v>
      </c>
      <c r="X36" s="11">
        <f t="shared" si="21"/>
        <v>1.946680445339893E-2</v>
      </c>
      <c r="Y36" s="12">
        <f t="shared" si="22"/>
        <v>79</v>
      </c>
      <c r="Z36" s="12">
        <f t="shared" si="23"/>
        <v>27</v>
      </c>
      <c r="AA36" s="12">
        <f t="shared" si="24"/>
        <v>16</v>
      </c>
      <c r="AB36" s="12">
        <f t="shared" si="25"/>
        <v>73</v>
      </c>
      <c r="AC36" s="5"/>
    </row>
    <row r="37" spans="1:29" x14ac:dyDescent="0.25">
      <c r="A37" s="5" t="s">
        <v>197</v>
      </c>
      <c r="B37" s="6" t="s">
        <v>198</v>
      </c>
      <c r="C37" s="7">
        <v>7584</v>
      </c>
      <c r="D37" s="8">
        <v>89830454.909999996</v>
      </c>
      <c r="E37" s="8">
        <v>91055549.579999998</v>
      </c>
      <c r="F37" s="8">
        <v>91055549.579999998</v>
      </c>
      <c r="G37" s="8">
        <v>24905415.48</v>
      </c>
      <c r="H37" s="8">
        <v>70752565.599999994</v>
      </c>
      <c r="I37" s="8">
        <v>32821620.93</v>
      </c>
      <c r="J37" s="8"/>
      <c r="K37" s="9">
        <v>0.29349999999999998</v>
      </c>
      <c r="L37" s="9">
        <v>1.199999999724868</v>
      </c>
      <c r="M37" s="8">
        <v>7001828.0300000003</v>
      </c>
      <c r="N37" s="5" t="s">
        <v>120</v>
      </c>
      <c r="O37" s="5"/>
      <c r="P37" s="10">
        <f t="shared" si="13"/>
        <v>3283.9419145569623</v>
      </c>
      <c r="Q37" s="11">
        <f t="shared" si="14"/>
        <v>0.27351891888938068</v>
      </c>
      <c r="R37" s="10">
        <f t="shared" si="15"/>
        <v>11844.73297863924</v>
      </c>
      <c r="S37" s="11">
        <f t="shared" si="16"/>
        <v>1.0136378544584619</v>
      </c>
      <c r="T37" s="10">
        <f t="shared" si="17"/>
        <v>32821620.93</v>
      </c>
      <c r="U37" s="12">
        <f t="shared" si="18"/>
        <v>1</v>
      </c>
      <c r="V37" s="11">
        <f t="shared" si="19"/>
        <v>0.46389301436158809</v>
      </c>
      <c r="W37" s="11">
        <f t="shared" si="20"/>
        <v>0.46389301436158809</v>
      </c>
      <c r="X37" s="11">
        <f t="shared" si="21"/>
        <v>7.7944924547193303E-2</v>
      </c>
      <c r="Y37" s="12">
        <f t="shared" si="22"/>
        <v>22</v>
      </c>
      <c r="Z37" s="12">
        <f t="shared" si="23"/>
        <v>54</v>
      </c>
      <c r="AA37" s="12">
        <f t="shared" si="24"/>
        <v>50</v>
      </c>
      <c r="AB37" s="12" t="str">
        <f t="shared" si="25"/>
        <v>n/c</v>
      </c>
      <c r="AC37" s="5" t="s">
        <v>74</v>
      </c>
    </row>
    <row r="38" spans="1:29" x14ac:dyDescent="0.25">
      <c r="A38" s="5" t="s">
        <v>199</v>
      </c>
      <c r="B38" s="6" t="s">
        <v>200</v>
      </c>
      <c r="C38" s="7">
        <v>264138</v>
      </c>
      <c r="D38" s="8">
        <v>4598616185.8500004</v>
      </c>
      <c r="E38" s="8">
        <v>3928254387.3800001</v>
      </c>
      <c r="F38" s="8">
        <v>3928254387.3800001</v>
      </c>
      <c r="G38" s="8">
        <v>989242810.79999995</v>
      </c>
      <c r="H38" s="8">
        <v>4075881348.3000002</v>
      </c>
      <c r="I38" s="8">
        <v>1543363964.0699999</v>
      </c>
      <c r="J38" s="8">
        <v>78707852.189999998</v>
      </c>
      <c r="K38" s="9">
        <v>-0.72670000000000001</v>
      </c>
      <c r="L38" s="9">
        <v>1.2</v>
      </c>
      <c r="M38" s="8">
        <v>26699222.039999999</v>
      </c>
      <c r="N38" s="5" t="s">
        <v>120</v>
      </c>
      <c r="O38" s="5"/>
      <c r="P38" s="10">
        <f t="shared" si="13"/>
        <v>3745.1741544192805</v>
      </c>
      <c r="Q38" s="11">
        <f t="shared" si="14"/>
        <v>0.25182758376801256</v>
      </c>
      <c r="R38" s="10">
        <f t="shared" si="15"/>
        <v>17409.900074392932</v>
      </c>
      <c r="S38" s="11">
        <f t="shared" si="16"/>
        <v>0.85422532097096693</v>
      </c>
      <c r="T38" s="10">
        <f t="shared" si="17"/>
        <v>1622071816.26</v>
      </c>
      <c r="U38" s="12">
        <f t="shared" si="18"/>
        <v>2</v>
      </c>
      <c r="V38" s="11">
        <f t="shared" si="19"/>
        <v>0.39796836012818337</v>
      </c>
      <c r="W38" s="11">
        <f t="shared" si="20"/>
        <v>0.37865772631328387</v>
      </c>
      <c r="X38" s="11">
        <f t="shared" si="21"/>
        <v>5.8059252959953124E-3</v>
      </c>
      <c r="Y38" s="12">
        <f t="shared" si="22"/>
        <v>14</v>
      </c>
      <c r="Z38" s="12">
        <f t="shared" si="23"/>
        <v>69</v>
      </c>
      <c r="AA38" s="12">
        <f t="shared" si="24"/>
        <v>91</v>
      </c>
      <c r="AB38" s="12">
        <f t="shared" si="25"/>
        <v>75</v>
      </c>
      <c r="AC38" s="5"/>
    </row>
    <row r="39" spans="1:29" x14ac:dyDescent="0.25">
      <c r="A39" s="5" t="s">
        <v>201</v>
      </c>
      <c r="B39" s="6" t="s">
        <v>202</v>
      </c>
      <c r="C39" s="7">
        <v>5601</v>
      </c>
      <c r="D39" s="8">
        <v>79739823.920000002</v>
      </c>
      <c r="E39" s="8">
        <v>72854928.129999995</v>
      </c>
      <c r="F39" s="8">
        <v>72854928.129999995</v>
      </c>
      <c r="G39" s="8">
        <v>24796982.079999998</v>
      </c>
      <c r="H39" s="8">
        <v>75854809.920000002</v>
      </c>
      <c r="I39" s="8">
        <v>28545656.940000001</v>
      </c>
      <c r="J39" s="8">
        <v>2135727.06</v>
      </c>
      <c r="K39" s="9">
        <v>-0.44969999999999999</v>
      </c>
      <c r="L39" s="9">
        <v>1.199999999947722</v>
      </c>
      <c r="M39" s="8">
        <v>449382.83</v>
      </c>
      <c r="N39" s="5" t="s">
        <v>156</v>
      </c>
      <c r="O39" s="5"/>
      <c r="P39" s="10">
        <f t="shared" si="13"/>
        <v>4427.2419353686837</v>
      </c>
      <c r="Q39" s="11">
        <f t="shared" si="14"/>
        <v>0.34036108080091793</v>
      </c>
      <c r="R39" s="10">
        <f t="shared" si="15"/>
        <v>14236.712001428317</v>
      </c>
      <c r="S39" s="11">
        <f t="shared" si="16"/>
        <v>0.91365800108980222</v>
      </c>
      <c r="T39" s="10">
        <f t="shared" si="17"/>
        <v>30681384</v>
      </c>
      <c r="U39" s="12">
        <f t="shared" si="18"/>
        <v>2</v>
      </c>
      <c r="V39" s="11">
        <f t="shared" si="19"/>
        <v>0.40447512863532331</v>
      </c>
      <c r="W39" s="11">
        <f t="shared" si="20"/>
        <v>0.37631966872114736</v>
      </c>
      <c r="X39" s="11">
        <f t="shared" si="21"/>
        <v>5.6356135229349022E-3</v>
      </c>
      <c r="Y39" s="12">
        <f t="shared" si="22"/>
        <v>8</v>
      </c>
      <c r="Z39" s="12">
        <f t="shared" si="23"/>
        <v>15</v>
      </c>
      <c r="AA39" s="12">
        <f t="shared" si="24"/>
        <v>86</v>
      </c>
      <c r="AB39" s="12">
        <f t="shared" si="25"/>
        <v>74</v>
      </c>
      <c r="AC39" s="5" t="s">
        <v>157</v>
      </c>
    </row>
    <row r="40" spans="1:29" x14ac:dyDescent="0.25">
      <c r="A40" s="5" t="s">
        <v>203</v>
      </c>
      <c r="B40" s="6" t="s">
        <v>204</v>
      </c>
      <c r="C40" s="7">
        <v>244092</v>
      </c>
      <c r="D40" s="8">
        <v>1195860455.0899999</v>
      </c>
      <c r="E40" s="8">
        <v>1250107003.27</v>
      </c>
      <c r="F40" s="8">
        <v>1250104637.8900001</v>
      </c>
      <c r="G40" s="8">
        <v>375957011.76999998</v>
      </c>
      <c r="H40" s="8">
        <v>1171433642.5699999</v>
      </c>
      <c r="I40" s="8">
        <v>593904629.75999999</v>
      </c>
      <c r="J40" s="8">
        <v>11392786.66</v>
      </c>
      <c r="K40" s="9">
        <v>4.7899999999999998E-2</v>
      </c>
      <c r="L40" s="9">
        <v>1.1999999999965849</v>
      </c>
      <c r="M40" s="8">
        <v>37974325.009999998</v>
      </c>
      <c r="N40" s="5" t="s">
        <v>120</v>
      </c>
      <c r="O40" s="5"/>
      <c r="P40" s="10">
        <f t="shared" si="13"/>
        <v>1540.2266840781344</v>
      </c>
      <c r="Q40" s="11">
        <f t="shared" si="14"/>
        <v>0.30074043434041031</v>
      </c>
      <c r="R40" s="10">
        <f t="shared" si="15"/>
        <v>4899.2201919358267</v>
      </c>
      <c r="S40" s="11">
        <f t="shared" si="16"/>
        <v>1.0453619383006669</v>
      </c>
      <c r="T40" s="10">
        <f t="shared" si="17"/>
        <v>605297416.41999996</v>
      </c>
      <c r="U40" s="12">
        <f t="shared" si="18"/>
        <v>2</v>
      </c>
      <c r="V40" s="11">
        <f t="shared" si="19"/>
        <v>0.51671506982849003</v>
      </c>
      <c r="W40" s="11">
        <f t="shared" si="20"/>
        <v>0.50698956234263248</v>
      </c>
      <c r="X40" s="11">
        <f t="shared" si="21"/>
        <v>3.1754812903435348E-2</v>
      </c>
      <c r="Y40" s="12">
        <f t="shared" si="22"/>
        <v>74</v>
      </c>
      <c r="Z40" s="12">
        <f t="shared" si="23"/>
        <v>41</v>
      </c>
      <c r="AA40" s="12">
        <f t="shared" si="24"/>
        <v>32</v>
      </c>
      <c r="AB40" s="12">
        <f t="shared" si="25"/>
        <v>28</v>
      </c>
      <c r="AC40" s="5"/>
    </row>
    <row r="41" spans="1:29" x14ac:dyDescent="0.25">
      <c r="A41" s="5" t="s">
        <v>205</v>
      </c>
      <c r="B41" s="6" t="s">
        <v>206</v>
      </c>
      <c r="C41" s="7">
        <v>43624</v>
      </c>
      <c r="D41" s="8">
        <v>561824507.40999997</v>
      </c>
      <c r="E41" s="8">
        <v>612419475.24000001</v>
      </c>
      <c r="F41" s="8">
        <v>612419475.24000001</v>
      </c>
      <c r="G41" s="8">
        <v>149133464.03999999</v>
      </c>
      <c r="H41" s="8">
        <v>542973193.07000005</v>
      </c>
      <c r="I41" s="8">
        <v>288082505.68000001</v>
      </c>
      <c r="J41" s="8">
        <v>13259360.52</v>
      </c>
      <c r="K41" s="9">
        <v>0.36249999999999999</v>
      </c>
      <c r="L41" s="9">
        <v>1.1999999999926201</v>
      </c>
      <c r="M41" s="8">
        <v>46532112.600000001</v>
      </c>
      <c r="N41" s="5" t="s">
        <v>120</v>
      </c>
      <c r="O41" s="5"/>
      <c r="P41" s="10">
        <f t="shared" si="13"/>
        <v>3418.6104905556572</v>
      </c>
      <c r="Q41" s="11">
        <f t="shared" si="14"/>
        <v>0.24351522129755318</v>
      </c>
      <c r="R41" s="10">
        <f t="shared" si="15"/>
        <v>12878.79395309921</v>
      </c>
      <c r="S41" s="11">
        <f t="shared" si="16"/>
        <v>1.0900547540427559</v>
      </c>
      <c r="T41" s="10">
        <f t="shared" si="17"/>
        <v>301341866.19999999</v>
      </c>
      <c r="U41" s="12">
        <f t="shared" si="18"/>
        <v>2</v>
      </c>
      <c r="V41" s="11">
        <f t="shared" si="19"/>
        <v>0.55498479491445363</v>
      </c>
      <c r="W41" s="11">
        <f t="shared" si="20"/>
        <v>0.53056487752400039</v>
      </c>
      <c r="X41" s="11">
        <f t="shared" si="21"/>
        <v>8.2823216122258778E-2</v>
      </c>
      <c r="Y41" s="12">
        <f t="shared" si="22"/>
        <v>18</v>
      </c>
      <c r="Z41" s="12">
        <f t="shared" si="23"/>
        <v>74</v>
      </c>
      <c r="AA41" s="12">
        <f t="shared" si="24"/>
        <v>15</v>
      </c>
      <c r="AB41" s="12">
        <f t="shared" si="25"/>
        <v>13</v>
      </c>
      <c r="AC41" s="5"/>
    </row>
    <row r="42" spans="1:29" x14ac:dyDescent="0.25">
      <c r="A42" s="5" t="s">
        <v>207</v>
      </c>
      <c r="B42" s="6" t="s">
        <v>208</v>
      </c>
      <c r="C42" s="7">
        <v>211986</v>
      </c>
      <c r="D42" s="8">
        <v>6688624520.46</v>
      </c>
      <c r="E42" s="8">
        <v>7175518054.5600004</v>
      </c>
      <c r="F42" s="8">
        <v>7175518054.5600004</v>
      </c>
      <c r="G42" s="8">
        <v>1099826706.22</v>
      </c>
      <c r="H42" s="8">
        <v>6598649878.1499996</v>
      </c>
      <c r="I42" s="8">
        <v>1298693613.21</v>
      </c>
      <c r="J42" s="8">
        <v>36161879.090000004</v>
      </c>
      <c r="K42" s="9">
        <v>-0.69450000000000001</v>
      </c>
      <c r="L42" s="9">
        <v>1.2</v>
      </c>
      <c r="M42" s="8">
        <v>19362314.829999998</v>
      </c>
      <c r="N42" s="5" t="s">
        <v>120</v>
      </c>
      <c r="O42" s="5"/>
      <c r="P42" s="10">
        <f t="shared" si="13"/>
        <v>5188.2044390667306</v>
      </c>
      <c r="Q42" s="11">
        <f t="shared" si="14"/>
        <v>0.15327488522185048</v>
      </c>
      <c r="R42" s="10">
        <f t="shared" si="15"/>
        <v>31552.199298349889</v>
      </c>
      <c r="S42" s="11">
        <f t="shared" si="16"/>
        <v>1.0727942692268986</v>
      </c>
      <c r="T42" s="10">
        <f t="shared" si="17"/>
        <v>1334855492.3</v>
      </c>
      <c r="U42" s="12">
        <f t="shared" si="18"/>
        <v>2</v>
      </c>
      <c r="V42" s="11">
        <f t="shared" si="19"/>
        <v>0.20229221385424387</v>
      </c>
      <c r="W42" s="11">
        <f t="shared" si="20"/>
        <v>0.19681202021497499</v>
      </c>
      <c r="X42" s="11">
        <f t="shared" si="21"/>
        <v>2.8948126435819699E-3</v>
      </c>
      <c r="Y42" s="12">
        <f t="shared" si="22"/>
        <v>5</v>
      </c>
      <c r="Z42" s="12">
        <f t="shared" si="23"/>
        <v>92</v>
      </c>
      <c r="AA42" s="12">
        <f t="shared" si="24"/>
        <v>25</v>
      </c>
      <c r="AB42" s="12">
        <f t="shared" si="25"/>
        <v>89</v>
      </c>
      <c r="AC42" s="5"/>
    </row>
    <row r="43" spans="1:29" x14ac:dyDescent="0.25">
      <c r="A43" s="5" t="s">
        <v>209</v>
      </c>
      <c r="B43" s="6" t="s">
        <v>210</v>
      </c>
      <c r="C43" s="7">
        <v>18049</v>
      </c>
      <c r="D43" s="8">
        <v>159672441.38</v>
      </c>
      <c r="E43" s="8">
        <v>157265067.41</v>
      </c>
      <c r="F43" s="8">
        <v>157265067.41</v>
      </c>
      <c r="G43" s="8">
        <v>35404215.32</v>
      </c>
      <c r="H43" s="8">
        <v>143093967.56</v>
      </c>
      <c r="I43" s="8">
        <v>62667499.810000002</v>
      </c>
      <c r="J43" s="8">
        <v>2374101.52</v>
      </c>
      <c r="K43" s="9">
        <v>0.23269999999999999</v>
      </c>
      <c r="L43" s="9">
        <v>1.1999999999861479</v>
      </c>
      <c r="M43" s="8">
        <v>23154329.989999998</v>
      </c>
      <c r="N43" s="5" t="s">
        <v>120</v>
      </c>
      <c r="O43" s="5"/>
      <c r="P43" s="10">
        <f t="shared" si="13"/>
        <v>1961.561046041332</v>
      </c>
      <c r="Q43" s="11">
        <f t="shared" si="14"/>
        <v>0.22512447235150426</v>
      </c>
      <c r="R43" s="10">
        <f t="shared" si="15"/>
        <v>8846.6087528394928</v>
      </c>
      <c r="S43" s="11">
        <f t="shared" si="16"/>
        <v>0.98492304652453611</v>
      </c>
      <c r="T43" s="10">
        <f t="shared" si="17"/>
        <v>65041601.330000006</v>
      </c>
      <c r="U43" s="12">
        <f t="shared" si="18"/>
        <v>2</v>
      </c>
      <c r="V43" s="11">
        <f t="shared" si="19"/>
        <v>0.45453768903799346</v>
      </c>
      <c r="W43" s="11">
        <f t="shared" si="20"/>
        <v>0.43794648285032151</v>
      </c>
      <c r="X43" s="11">
        <f t="shared" si="21"/>
        <v>0.14501143584881784</v>
      </c>
      <c r="Y43" s="12">
        <f t="shared" si="22"/>
        <v>61</v>
      </c>
      <c r="Z43" s="12">
        <f t="shared" si="23"/>
        <v>84</v>
      </c>
      <c r="AA43" s="12">
        <f t="shared" si="24"/>
        <v>71</v>
      </c>
      <c r="AB43" s="12">
        <f t="shared" si="25"/>
        <v>54</v>
      </c>
      <c r="AC43" s="5"/>
    </row>
    <row r="44" spans="1:29" x14ac:dyDescent="0.25">
      <c r="A44" s="5" t="s">
        <v>211</v>
      </c>
      <c r="B44" s="6" t="s">
        <v>212</v>
      </c>
      <c r="C44" s="7">
        <v>178803</v>
      </c>
      <c r="D44" s="8">
        <v>701314625.5</v>
      </c>
      <c r="E44" s="8">
        <v>645226529.20000005</v>
      </c>
      <c r="F44" s="8">
        <v>645226529.20000005</v>
      </c>
      <c r="G44" s="8">
        <v>198701992</v>
      </c>
      <c r="H44" s="8">
        <v>630288499.23000002</v>
      </c>
      <c r="I44" s="8">
        <v>218986383.41</v>
      </c>
      <c r="J44" s="8">
        <v>7074786.5199999996</v>
      </c>
      <c r="K44" s="9">
        <v>-1.24E-2</v>
      </c>
      <c r="L44" s="9">
        <v>1.200000000006304</v>
      </c>
      <c r="M44" s="8">
        <v>2480347.4700000002</v>
      </c>
      <c r="N44" s="5" t="s">
        <v>120</v>
      </c>
      <c r="O44" s="5"/>
      <c r="P44" s="10">
        <f t="shared" si="13"/>
        <v>1111.2900342835412</v>
      </c>
      <c r="Q44" s="11">
        <f t="shared" si="14"/>
        <v>0.30795694691345926</v>
      </c>
      <c r="R44" s="10">
        <f t="shared" si="15"/>
        <v>3922.275495936869</v>
      </c>
      <c r="S44" s="11">
        <f t="shared" si="16"/>
        <v>0.92002434533571553</v>
      </c>
      <c r="T44" s="10">
        <f t="shared" si="17"/>
        <v>226061169.93000001</v>
      </c>
      <c r="U44" s="12">
        <f t="shared" si="18"/>
        <v>2</v>
      </c>
      <c r="V44" s="11">
        <f t="shared" si="19"/>
        <v>0.35866300940945378</v>
      </c>
      <c r="W44" s="11">
        <f t="shared" si="20"/>
        <v>0.3474383297133416</v>
      </c>
      <c r="X44" s="11">
        <f t="shared" si="21"/>
        <v>3.5367114556204278E-3</v>
      </c>
      <c r="Y44" s="12">
        <f t="shared" si="22"/>
        <v>86</v>
      </c>
      <c r="Z44" s="12">
        <f t="shared" si="23"/>
        <v>33</v>
      </c>
      <c r="AA44" s="12">
        <f t="shared" si="24"/>
        <v>85</v>
      </c>
      <c r="AB44" s="12">
        <f t="shared" si="25"/>
        <v>82</v>
      </c>
      <c r="AC44" s="5"/>
    </row>
    <row r="45" spans="1:29" x14ac:dyDescent="0.25">
      <c r="A45" s="5" t="s">
        <v>213</v>
      </c>
      <c r="B45" s="6" t="s">
        <v>214</v>
      </c>
      <c r="C45" s="7">
        <v>28123</v>
      </c>
      <c r="D45" s="8">
        <v>283966247.04000002</v>
      </c>
      <c r="E45" s="8">
        <v>282275227.41000003</v>
      </c>
      <c r="F45" s="8">
        <v>282321931.44</v>
      </c>
      <c r="G45" s="8">
        <v>85619055.170000002</v>
      </c>
      <c r="H45" s="8">
        <v>234927618.5</v>
      </c>
      <c r="I45" s="8">
        <v>102386114.56</v>
      </c>
      <c r="J45" s="8">
        <v>4237497.9000000004</v>
      </c>
      <c r="K45" s="9">
        <v>-0.1055</v>
      </c>
      <c r="L45" s="9">
        <v>1.2</v>
      </c>
      <c r="M45" s="8">
        <v>45673023.789999999</v>
      </c>
      <c r="N45" s="5" t="s">
        <v>120</v>
      </c>
      <c r="O45" s="5"/>
      <c r="P45" s="10">
        <f t="shared" si="13"/>
        <v>3044.4495669025355</v>
      </c>
      <c r="Q45" s="11">
        <f t="shared" si="14"/>
        <v>0.30326746042468206</v>
      </c>
      <c r="R45" s="10">
        <f t="shared" si="15"/>
        <v>10097.295702449952</v>
      </c>
      <c r="S45" s="11">
        <f t="shared" si="16"/>
        <v>0.99404499778538191</v>
      </c>
      <c r="T45" s="10">
        <f t="shared" si="17"/>
        <v>106623612.46000001</v>
      </c>
      <c r="U45" s="12">
        <f t="shared" si="18"/>
        <v>2</v>
      </c>
      <c r="V45" s="11">
        <f t="shared" si="19"/>
        <v>0.45385729077230658</v>
      </c>
      <c r="W45" s="11">
        <f t="shared" si="20"/>
        <v>0.43581982916155088</v>
      </c>
      <c r="X45" s="11">
        <f t="shared" si="21"/>
        <v>0.16083962184268474</v>
      </c>
      <c r="Y45" s="12">
        <f t="shared" si="22"/>
        <v>29</v>
      </c>
      <c r="Z45" s="12">
        <f t="shared" si="23"/>
        <v>38</v>
      </c>
      <c r="AA45" s="12">
        <f t="shared" si="24"/>
        <v>63</v>
      </c>
      <c r="AB45" s="12">
        <f t="shared" si="25"/>
        <v>56</v>
      </c>
      <c r="AC45" s="5"/>
    </row>
    <row r="46" spans="1:29" x14ac:dyDescent="0.25">
      <c r="A46" s="21" t="s">
        <v>215</v>
      </c>
      <c r="B46" s="22" t="s">
        <v>216</v>
      </c>
      <c r="C46" s="23">
        <v>28411</v>
      </c>
      <c r="D46" s="24">
        <v>176799816.44</v>
      </c>
      <c r="E46" s="24">
        <v>190271541.63</v>
      </c>
      <c r="F46" s="24">
        <v>190271541.63</v>
      </c>
      <c r="G46" s="24">
        <v>49348301.640000001</v>
      </c>
      <c r="H46" s="24">
        <v>33240137.73</v>
      </c>
      <c r="I46" s="24">
        <v>40657955.240000002</v>
      </c>
      <c r="J46" s="24"/>
      <c r="K46" s="25">
        <v>8.72E-2</v>
      </c>
      <c r="L46" s="25">
        <v>1.2000000001203359</v>
      </c>
      <c r="M46" s="24">
        <v>8936133.7899999991</v>
      </c>
      <c r="N46" s="21" t="s">
        <v>120</v>
      </c>
      <c r="O46" s="21" t="s">
        <v>127</v>
      </c>
      <c r="P46" s="26">
        <f t="shared" si="13"/>
        <v>1736.9434951251276</v>
      </c>
      <c r="Q46" s="27">
        <f t="shared" si="14"/>
        <v>0.25935723869816635</v>
      </c>
      <c r="R46" s="26">
        <f t="shared" si="15"/>
        <v>6222.9353574319803</v>
      </c>
      <c r="S46" s="27">
        <f t="shared" si="16"/>
        <v>1.0761976197784791</v>
      </c>
      <c r="T46" s="26">
        <f t="shared" si="17"/>
        <v>40657955.240000002</v>
      </c>
      <c r="U46" s="28">
        <f t="shared" si="18"/>
        <v>1</v>
      </c>
      <c r="V46" s="27">
        <f t="shared" si="19"/>
        <v>1.2231584468828856</v>
      </c>
      <c r="W46" s="27">
        <f t="shared" si="20"/>
        <v>1.2231584468828856</v>
      </c>
      <c r="X46" s="27">
        <f t="shared" si="21"/>
        <v>5.0543795632461114E-2</v>
      </c>
      <c r="Y46" s="28">
        <f t="shared" si="22"/>
        <v>67</v>
      </c>
      <c r="Z46" s="28">
        <f t="shared" si="23"/>
        <v>62</v>
      </c>
      <c r="AA46" s="28">
        <f t="shared" si="24"/>
        <v>22</v>
      </c>
      <c r="AB46" s="28" t="str">
        <f t="shared" si="25"/>
        <v>n/c</v>
      </c>
      <c r="AC46" s="21" t="s">
        <v>217</v>
      </c>
    </row>
    <row r="47" spans="1:29" x14ac:dyDescent="0.25">
      <c r="A47" s="5" t="s">
        <v>218</v>
      </c>
      <c r="B47" s="6" t="s">
        <v>219</v>
      </c>
      <c r="C47" s="7">
        <v>15550</v>
      </c>
      <c r="D47" s="8">
        <v>126654217.33</v>
      </c>
      <c r="E47" s="8">
        <v>129304776.3</v>
      </c>
      <c r="F47" s="8">
        <v>129304776.3</v>
      </c>
      <c r="G47" s="8">
        <v>40427483.880000003</v>
      </c>
      <c r="H47" s="8">
        <v>116798544.98</v>
      </c>
      <c r="I47" s="8">
        <v>50991647.93</v>
      </c>
      <c r="J47" s="8">
        <v>2367892.6</v>
      </c>
      <c r="K47" s="9">
        <v>9.69E-2</v>
      </c>
      <c r="L47" s="9">
        <v>1.200000000034247</v>
      </c>
      <c r="M47" s="8">
        <v>1140640.55</v>
      </c>
      <c r="N47" s="5" t="s">
        <v>156</v>
      </c>
      <c r="O47" s="5"/>
      <c r="P47" s="10">
        <f t="shared" si="13"/>
        <v>2599.8381916398716</v>
      </c>
      <c r="Q47" s="11">
        <f t="shared" si="14"/>
        <v>0.31265267252157958</v>
      </c>
      <c r="R47" s="10">
        <f t="shared" si="15"/>
        <v>8144.9657446945339</v>
      </c>
      <c r="S47" s="11">
        <f t="shared" si="16"/>
        <v>1.0209275223981995</v>
      </c>
      <c r="T47" s="10">
        <f t="shared" si="17"/>
        <v>53359540.530000001</v>
      </c>
      <c r="U47" s="12">
        <f t="shared" si="18"/>
        <v>2</v>
      </c>
      <c r="V47" s="11">
        <f t="shared" si="19"/>
        <v>0.45685107240965223</v>
      </c>
      <c r="W47" s="11">
        <f t="shared" si="20"/>
        <v>0.43657776677553262</v>
      </c>
      <c r="X47" s="11">
        <f t="shared" si="21"/>
        <v>9.0059421158321089E-3</v>
      </c>
      <c r="Y47" s="12">
        <f t="shared" si="22"/>
        <v>40</v>
      </c>
      <c r="Z47" s="12">
        <f t="shared" si="23"/>
        <v>29</v>
      </c>
      <c r="AA47" s="12">
        <f t="shared" si="24"/>
        <v>47</v>
      </c>
      <c r="AB47" s="12">
        <f t="shared" si="25"/>
        <v>52</v>
      </c>
      <c r="AC47" s="5" t="s">
        <v>157</v>
      </c>
    </row>
    <row r="48" spans="1:29" x14ac:dyDescent="0.25">
      <c r="A48" s="5" t="s">
        <v>220</v>
      </c>
      <c r="B48" s="6" t="s">
        <v>221</v>
      </c>
      <c r="C48" s="7">
        <v>155544</v>
      </c>
      <c r="D48" s="8">
        <v>558731861.71000004</v>
      </c>
      <c r="E48" s="8">
        <v>616687025.89999998</v>
      </c>
      <c r="F48" s="8">
        <v>616687025.89999998</v>
      </c>
      <c r="G48" s="8">
        <v>205913058.24000001</v>
      </c>
      <c r="H48" s="8">
        <v>508465205.25</v>
      </c>
      <c r="I48" s="8">
        <v>185750791.49000001</v>
      </c>
      <c r="J48" s="8">
        <v>11531600.98</v>
      </c>
      <c r="K48" s="9">
        <v>5.2900000000000003E-2</v>
      </c>
      <c r="L48" s="9">
        <v>1.2</v>
      </c>
      <c r="M48" s="8">
        <v>425665.76</v>
      </c>
      <c r="N48" s="5" t="s">
        <v>120</v>
      </c>
      <c r="O48" s="5"/>
      <c r="P48" s="10">
        <f t="shared" si="13"/>
        <v>1323.82514426786</v>
      </c>
      <c r="Q48" s="11">
        <f t="shared" si="14"/>
        <v>0.33390204364926956</v>
      </c>
      <c r="R48" s="10">
        <f t="shared" si="15"/>
        <v>3592.1145252147303</v>
      </c>
      <c r="S48" s="11">
        <f t="shared" si="16"/>
        <v>1.1037262561197567</v>
      </c>
      <c r="T48" s="10">
        <f t="shared" si="17"/>
        <v>197282392.47</v>
      </c>
      <c r="U48" s="12">
        <f t="shared" si="18"/>
        <v>2</v>
      </c>
      <c r="V48" s="11">
        <f t="shared" si="19"/>
        <v>0.38799585582852425</v>
      </c>
      <c r="W48" s="11">
        <f t="shared" si="20"/>
        <v>0.36531662259695991</v>
      </c>
      <c r="X48" s="11">
        <f t="shared" si="21"/>
        <v>7.618426461259057E-4</v>
      </c>
      <c r="Y48" s="12">
        <f t="shared" si="22"/>
        <v>80</v>
      </c>
      <c r="Z48" s="12">
        <f t="shared" si="23"/>
        <v>21</v>
      </c>
      <c r="AA48" s="12">
        <f t="shared" si="24"/>
        <v>13</v>
      </c>
      <c r="AB48" s="12">
        <f t="shared" si="25"/>
        <v>77</v>
      </c>
      <c r="AC48" s="5"/>
    </row>
    <row r="49" spans="1:29" x14ac:dyDescent="0.25">
      <c r="A49" s="5" t="s">
        <v>222</v>
      </c>
      <c r="B49" s="6" t="s">
        <v>223</v>
      </c>
      <c r="C49" s="7">
        <v>516720</v>
      </c>
      <c r="D49" s="8">
        <v>6106029413.5299997</v>
      </c>
      <c r="E49" s="8">
        <v>5632743091.1999998</v>
      </c>
      <c r="F49" s="8">
        <v>5632743091.1899996</v>
      </c>
      <c r="G49" s="8">
        <v>877478913.05999994</v>
      </c>
      <c r="H49" s="8">
        <v>5888433948.1199999</v>
      </c>
      <c r="I49" s="8">
        <v>2163270303.1700001</v>
      </c>
      <c r="J49" s="8">
        <v>123107521.84999999</v>
      </c>
      <c r="K49" s="9">
        <v>-0.72540000000000004</v>
      </c>
      <c r="L49" s="9">
        <v>1.1999999999993221</v>
      </c>
      <c r="M49" s="8">
        <v>181922030.63999999</v>
      </c>
      <c r="N49" s="5" t="s">
        <v>120</v>
      </c>
      <c r="O49" s="5"/>
      <c r="P49" s="10">
        <f t="shared" si="13"/>
        <v>1698.1709882721782</v>
      </c>
      <c r="Q49" s="11">
        <f t="shared" si="14"/>
        <v>0.15578180983124151</v>
      </c>
      <c r="R49" s="10">
        <f t="shared" si="15"/>
        <v>11816.901636340765</v>
      </c>
      <c r="S49" s="11">
        <f t="shared" si="16"/>
        <v>0.92248869268771094</v>
      </c>
      <c r="T49" s="10">
        <f t="shared" si="17"/>
        <v>2286377825.02</v>
      </c>
      <c r="U49" s="12">
        <f t="shared" si="18"/>
        <v>2</v>
      </c>
      <c r="V49" s="11">
        <f t="shared" si="19"/>
        <v>0.38828283464909574</v>
      </c>
      <c r="W49" s="11">
        <f t="shared" si="20"/>
        <v>0.36737616864339073</v>
      </c>
      <c r="X49" s="11">
        <f t="shared" si="21"/>
        <v>2.9793834637758115E-2</v>
      </c>
      <c r="Y49" s="12">
        <f t="shared" si="22"/>
        <v>69</v>
      </c>
      <c r="Z49" s="12">
        <f t="shared" si="23"/>
        <v>91</v>
      </c>
      <c r="AA49" s="12">
        <f t="shared" si="24"/>
        <v>84</v>
      </c>
      <c r="AB49" s="12">
        <f t="shared" si="25"/>
        <v>76</v>
      </c>
      <c r="AC49" s="5"/>
    </row>
    <row r="50" spans="1:29" x14ac:dyDescent="0.25">
      <c r="A50" s="5" t="s">
        <v>224</v>
      </c>
      <c r="B50" s="6" t="s">
        <v>225</v>
      </c>
      <c r="C50" s="7">
        <v>203328</v>
      </c>
      <c r="D50" s="8">
        <v>828108193.35000002</v>
      </c>
      <c r="E50" s="8">
        <v>855204799.72000003</v>
      </c>
      <c r="F50" s="8">
        <v>855204799.72000003</v>
      </c>
      <c r="G50" s="8">
        <v>310050017.86000001</v>
      </c>
      <c r="H50" s="8">
        <v>799436335.91999996</v>
      </c>
      <c r="I50" s="8">
        <v>417431481.81999999</v>
      </c>
      <c r="J50" s="8">
        <v>13524926.109999999</v>
      </c>
      <c r="K50" s="9">
        <v>-0.1991</v>
      </c>
      <c r="L50" s="9">
        <v>1.199999999995027</v>
      </c>
      <c r="M50" s="8">
        <v>9711775.9299999997</v>
      </c>
      <c r="N50" s="5" t="s">
        <v>120</v>
      </c>
      <c r="O50" s="5"/>
      <c r="P50" s="10">
        <f t="shared" si="13"/>
        <v>1524.8761501613158</v>
      </c>
      <c r="Q50" s="11">
        <f t="shared" si="14"/>
        <v>0.36254475882445064</v>
      </c>
      <c r="R50" s="10">
        <f t="shared" si="15"/>
        <v>4072.7700727396132</v>
      </c>
      <c r="S50" s="11">
        <f t="shared" si="16"/>
        <v>1.0327210944023923</v>
      </c>
      <c r="T50" s="10">
        <f t="shared" si="17"/>
        <v>430956407.93000001</v>
      </c>
      <c r="U50" s="12">
        <f t="shared" si="18"/>
        <v>2</v>
      </c>
      <c r="V50" s="11">
        <f t="shared" si="19"/>
        <v>0.53907533166359112</v>
      </c>
      <c r="W50" s="11">
        <f t="shared" si="20"/>
        <v>0.5221572538851581</v>
      </c>
      <c r="X50" s="11">
        <f t="shared" si="21"/>
        <v>1.1727665549005523E-2</v>
      </c>
      <c r="Y50" s="12">
        <f t="shared" si="22"/>
        <v>75</v>
      </c>
      <c r="Z50" s="12">
        <f t="shared" si="23"/>
        <v>9</v>
      </c>
      <c r="AA50" s="12">
        <f t="shared" si="24"/>
        <v>41</v>
      </c>
      <c r="AB50" s="12">
        <f t="shared" si="25"/>
        <v>19</v>
      </c>
      <c r="AC50" s="5"/>
    </row>
    <row r="51" spans="1:29" x14ac:dyDescent="0.25">
      <c r="A51" s="5" t="s">
        <v>226</v>
      </c>
      <c r="B51" s="6" t="s">
        <v>227</v>
      </c>
      <c r="C51" s="7">
        <v>843046</v>
      </c>
      <c r="D51" s="8">
        <v>2638186154.77</v>
      </c>
      <c r="E51" s="8">
        <v>2772514718.98</v>
      </c>
      <c r="F51" s="8">
        <v>2772514718.98</v>
      </c>
      <c r="G51" s="8">
        <v>864769620.46000004</v>
      </c>
      <c r="H51" s="8">
        <v>2380991012.3699999</v>
      </c>
      <c r="I51" s="8">
        <v>1016861607.52</v>
      </c>
      <c r="J51" s="8">
        <v>19331780.510000002</v>
      </c>
      <c r="K51" s="9">
        <v>0.44579999999999997</v>
      </c>
      <c r="L51" s="9">
        <v>1.2</v>
      </c>
      <c r="M51" s="8">
        <v>18094228.5</v>
      </c>
      <c r="N51" s="5" t="s">
        <v>120</v>
      </c>
      <c r="O51" s="5"/>
      <c r="P51" s="10">
        <f t="shared" si="13"/>
        <v>1025.7680132044989</v>
      </c>
      <c r="Q51" s="11">
        <f t="shared" si="14"/>
        <v>0.31190803588525084</v>
      </c>
      <c r="R51" s="10">
        <f t="shared" si="15"/>
        <v>3129.3501834656709</v>
      </c>
      <c r="S51" s="11">
        <f t="shared" si="16"/>
        <v>1.0509170150738325</v>
      </c>
      <c r="T51" s="10">
        <f t="shared" si="17"/>
        <v>1036193388.03</v>
      </c>
      <c r="U51" s="12">
        <f t="shared" si="18"/>
        <v>2</v>
      </c>
      <c r="V51" s="11">
        <f t="shared" si="19"/>
        <v>0.43519416186228688</v>
      </c>
      <c r="W51" s="11">
        <f t="shared" si="20"/>
        <v>0.42707494578395422</v>
      </c>
      <c r="X51" s="11">
        <f t="shared" si="21"/>
        <v>6.8585867101472507E-3</v>
      </c>
      <c r="Y51" s="12">
        <f t="shared" si="22"/>
        <v>89</v>
      </c>
      <c r="Z51" s="12">
        <f t="shared" si="23"/>
        <v>31</v>
      </c>
      <c r="AA51" s="12">
        <f t="shared" si="24"/>
        <v>31</v>
      </c>
      <c r="AB51" s="12">
        <f t="shared" si="25"/>
        <v>65</v>
      </c>
      <c r="AC51" s="5" t="s">
        <v>141</v>
      </c>
    </row>
    <row r="52" spans="1:29" x14ac:dyDescent="0.25">
      <c r="A52" s="5" t="s">
        <v>228</v>
      </c>
      <c r="B52" s="6" t="s">
        <v>229</v>
      </c>
      <c r="C52" s="7">
        <v>43656</v>
      </c>
      <c r="D52" s="8">
        <v>279173247.24000001</v>
      </c>
      <c r="E52" s="8">
        <v>278872440.69</v>
      </c>
      <c r="F52" s="8">
        <v>278872440.69</v>
      </c>
      <c r="G52" s="8">
        <v>94528221.719999999</v>
      </c>
      <c r="H52" s="8">
        <v>262137930.24000001</v>
      </c>
      <c r="I52" s="8">
        <v>84375893.939999998</v>
      </c>
      <c r="J52" s="8">
        <v>3724077.95</v>
      </c>
      <c r="K52" s="9">
        <v>-3.3999999999999998E-3</v>
      </c>
      <c r="L52" s="9">
        <v>1.267073886745063</v>
      </c>
      <c r="M52" s="8">
        <v>1120011.8899999999</v>
      </c>
      <c r="N52" s="5" t="s">
        <v>120</v>
      </c>
      <c r="O52" s="5"/>
      <c r="P52" s="10">
        <f t="shared" si="13"/>
        <v>2165.2973639362285</v>
      </c>
      <c r="Q52" s="11">
        <f t="shared" si="14"/>
        <v>0.33896580632390061</v>
      </c>
      <c r="R52" s="10">
        <f t="shared" si="15"/>
        <v>6394.8425700934586</v>
      </c>
      <c r="S52" s="11">
        <f t="shared" si="16"/>
        <v>0.9989225093988271</v>
      </c>
      <c r="T52" s="10">
        <f t="shared" si="17"/>
        <v>88099971.890000001</v>
      </c>
      <c r="U52" s="12">
        <f t="shared" si="18"/>
        <v>2</v>
      </c>
      <c r="V52" s="11">
        <f t="shared" si="19"/>
        <v>0.33608250362448577</v>
      </c>
      <c r="W52" s="11">
        <f t="shared" si="20"/>
        <v>0.32187594470876368</v>
      </c>
      <c r="X52" s="11">
        <f t="shared" si="21"/>
        <v>4.0118883205063939E-3</v>
      </c>
      <c r="Y52" s="12">
        <f t="shared" si="22"/>
        <v>54</v>
      </c>
      <c r="Z52" s="12">
        <f t="shared" si="23"/>
        <v>18</v>
      </c>
      <c r="AA52" s="12">
        <f t="shared" si="24"/>
        <v>61</v>
      </c>
      <c r="AB52" s="12">
        <f t="shared" si="25"/>
        <v>87</v>
      </c>
      <c r="AC52" s="5" t="s">
        <v>107</v>
      </c>
    </row>
    <row r="53" spans="1:29" x14ac:dyDescent="0.25">
      <c r="A53" s="5" t="s">
        <v>230</v>
      </c>
      <c r="B53" s="6" t="s">
        <v>231</v>
      </c>
      <c r="C53" s="7">
        <v>47614</v>
      </c>
      <c r="D53" s="8">
        <v>527576316.43000001</v>
      </c>
      <c r="E53" s="8">
        <v>582691773.61000001</v>
      </c>
      <c r="F53" s="8">
        <v>582691773.61000001</v>
      </c>
      <c r="G53" s="8">
        <v>152548195.02000001</v>
      </c>
      <c r="H53" s="8">
        <v>521795764.31</v>
      </c>
      <c r="I53" s="8">
        <v>193422912.65000001</v>
      </c>
      <c r="J53" s="8">
        <v>8257531.4000000004</v>
      </c>
      <c r="K53" s="9">
        <v>-0.2132</v>
      </c>
      <c r="L53" s="9">
        <v>1.199999999996167</v>
      </c>
      <c r="M53" s="8">
        <v>11197126.98</v>
      </c>
      <c r="N53" s="5" t="s">
        <v>120</v>
      </c>
      <c r="O53" s="5"/>
      <c r="P53" s="10">
        <f t="shared" si="13"/>
        <v>3203.8517037005927</v>
      </c>
      <c r="Q53" s="11">
        <f t="shared" si="14"/>
        <v>0.26179912250160181</v>
      </c>
      <c r="R53" s="10">
        <f t="shared" si="15"/>
        <v>11080.277154408368</v>
      </c>
      <c r="S53" s="11">
        <f t="shared" si="16"/>
        <v>1.1044691648650093</v>
      </c>
      <c r="T53" s="10">
        <f t="shared" si="17"/>
        <v>201680444.05000001</v>
      </c>
      <c r="U53" s="12">
        <f t="shared" si="18"/>
        <v>2</v>
      </c>
      <c r="V53" s="11">
        <f t="shared" si="19"/>
        <v>0.38651222919889633</v>
      </c>
      <c r="W53" s="11">
        <f t="shared" si="20"/>
        <v>0.37068701181538727</v>
      </c>
      <c r="X53" s="11">
        <f t="shared" si="21"/>
        <v>2.1223710449643846E-2</v>
      </c>
      <c r="Y53" s="12">
        <f t="shared" si="22"/>
        <v>25</v>
      </c>
      <c r="Z53" s="12">
        <f t="shared" si="23"/>
        <v>61</v>
      </c>
      <c r="AA53" s="12">
        <f t="shared" si="24"/>
        <v>12</v>
      </c>
      <c r="AB53" s="12">
        <f t="shared" si="25"/>
        <v>78</v>
      </c>
      <c r="AC53" s="5"/>
    </row>
    <row r="54" spans="1:29" x14ac:dyDescent="0.25">
      <c r="A54" s="5" t="s">
        <v>232</v>
      </c>
      <c r="B54" s="6" t="s">
        <v>233</v>
      </c>
      <c r="C54" s="7">
        <v>44467</v>
      </c>
      <c r="D54" s="8">
        <v>268096562.86000001</v>
      </c>
      <c r="E54" s="8">
        <v>289842107.08999997</v>
      </c>
      <c r="F54" s="8">
        <v>289842107.08999997</v>
      </c>
      <c r="G54" s="8">
        <v>69315508.549999997</v>
      </c>
      <c r="H54" s="8">
        <v>228997571.34999999</v>
      </c>
      <c r="I54" s="8">
        <v>112200894.63</v>
      </c>
      <c r="J54" s="8">
        <v>4687833.54</v>
      </c>
      <c r="K54" s="9">
        <v>0.42090000000000011</v>
      </c>
      <c r="L54" s="9">
        <v>1.2</v>
      </c>
      <c r="M54" s="8">
        <v>19137154.260000002</v>
      </c>
      <c r="N54" s="5" t="s">
        <v>120</v>
      </c>
      <c r="O54" s="5"/>
      <c r="P54" s="10">
        <f t="shared" si="13"/>
        <v>1558.8078473924484</v>
      </c>
      <c r="Q54" s="11">
        <f t="shared" si="14"/>
        <v>0.23914920177031621</v>
      </c>
      <c r="R54" s="10">
        <f t="shared" si="15"/>
        <v>6029.1128895585498</v>
      </c>
      <c r="S54" s="11">
        <f t="shared" si="16"/>
        <v>1.0811108654211112</v>
      </c>
      <c r="T54" s="10">
        <f t="shared" si="17"/>
        <v>116888728.17</v>
      </c>
      <c r="U54" s="12">
        <f t="shared" si="18"/>
        <v>2</v>
      </c>
      <c r="V54" s="11">
        <f t="shared" si="19"/>
        <v>0.51043654079347078</v>
      </c>
      <c r="W54" s="11">
        <f t="shared" si="20"/>
        <v>0.48996543486704536</v>
      </c>
      <c r="X54" s="11">
        <f t="shared" si="21"/>
        <v>7.1381572579106212E-2</v>
      </c>
      <c r="Y54" s="12">
        <f t="shared" si="22"/>
        <v>73</v>
      </c>
      <c r="Z54" s="12">
        <f t="shared" si="23"/>
        <v>76</v>
      </c>
      <c r="AA54" s="12">
        <f t="shared" si="24"/>
        <v>19</v>
      </c>
      <c r="AB54" s="12">
        <f t="shared" si="25"/>
        <v>34</v>
      </c>
      <c r="AC54" s="5"/>
    </row>
    <row r="55" spans="1:29" x14ac:dyDescent="0.25">
      <c r="A55" s="5" t="s">
        <v>234</v>
      </c>
      <c r="B55" s="6" t="s">
        <v>235</v>
      </c>
      <c r="C55" s="7">
        <v>31345</v>
      </c>
      <c r="D55" s="8">
        <v>208497522.59</v>
      </c>
      <c r="E55" s="8">
        <v>224309062.06999999</v>
      </c>
      <c r="F55" s="8">
        <v>224309062.06999999</v>
      </c>
      <c r="G55" s="8">
        <v>53590490.600000001</v>
      </c>
      <c r="H55" s="8">
        <v>185389723.88</v>
      </c>
      <c r="I55" s="8">
        <v>96006782.030000001</v>
      </c>
      <c r="J55" s="8">
        <v>4363758.72</v>
      </c>
      <c r="K55" s="9">
        <v>-0.13819999999999999</v>
      </c>
      <c r="L55" s="9">
        <v>1.2000000000212989</v>
      </c>
      <c r="M55" s="8">
        <v>12801519.25</v>
      </c>
      <c r="N55" s="5" t="s">
        <v>120</v>
      </c>
      <c r="O55" s="5"/>
      <c r="P55" s="10">
        <f t="shared" si="13"/>
        <v>1709.6982166214707</v>
      </c>
      <c r="Q55" s="11">
        <f t="shared" si="14"/>
        <v>0.23891362259486446</v>
      </c>
      <c r="R55" s="10">
        <f t="shared" si="15"/>
        <v>6651.699556229064</v>
      </c>
      <c r="S55" s="11">
        <f t="shared" si="16"/>
        <v>1.0758356228102173</v>
      </c>
      <c r="T55" s="10">
        <f t="shared" si="17"/>
        <v>100370540.75</v>
      </c>
      <c r="U55" s="12">
        <f t="shared" si="18"/>
        <v>2</v>
      </c>
      <c r="V55" s="11">
        <f t="shared" si="19"/>
        <v>0.54140293566092346</v>
      </c>
      <c r="W55" s="11">
        <f t="shared" si="20"/>
        <v>0.51786463683469186</v>
      </c>
      <c r="X55" s="11">
        <f t="shared" si="21"/>
        <v>6.1398903406509775E-2</v>
      </c>
      <c r="Y55" s="12">
        <f t="shared" si="22"/>
        <v>68</v>
      </c>
      <c r="Z55" s="12">
        <f t="shared" si="23"/>
        <v>77</v>
      </c>
      <c r="AA55" s="12">
        <f t="shared" si="24"/>
        <v>23</v>
      </c>
      <c r="AB55" s="12">
        <f t="shared" si="25"/>
        <v>18</v>
      </c>
      <c r="AC55" s="5"/>
    </row>
    <row r="56" spans="1:29" x14ac:dyDescent="0.25">
      <c r="A56" s="5" t="s">
        <v>236</v>
      </c>
      <c r="B56" s="6" t="s">
        <v>237</v>
      </c>
      <c r="C56" s="7">
        <v>294983</v>
      </c>
      <c r="D56" s="8">
        <v>1773208142.3599999</v>
      </c>
      <c r="E56" s="8">
        <v>1812113839.0799999</v>
      </c>
      <c r="F56" s="8">
        <v>1812113839.0799999</v>
      </c>
      <c r="G56" s="8">
        <v>578293179.51999998</v>
      </c>
      <c r="H56" s="8">
        <v>1668518739.77</v>
      </c>
      <c r="I56" s="8">
        <v>676061126.72000003</v>
      </c>
      <c r="J56" s="8">
        <v>25995453.129999999</v>
      </c>
      <c r="K56" s="9">
        <v>0.25519999999999998</v>
      </c>
      <c r="L56" s="9">
        <v>1.1999999999976221</v>
      </c>
      <c r="M56" s="8">
        <v>81120263.069999993</v>
      </c>
      <c r="N56" s="5" t="s">
        <v>120</v>
      </c>
      <c r="O56" s="5"/>
      <c r="P56" s="10">
        <f t="shared" si="13"/>
        <v>1960.4288366448236</v>
      </c>
      <c r="Q56" s="11">
        <f t="shared" si="14"/>
        <v>0.31912629717214464</v>
      </c>
      <c r="R56" s="10">
        <f t="shared" si="15"/>
        <v>6011.221468220202</v>
      </c>
      <c r="S56" s="11">
        <f t="shared" si="16"/>
        <v>1.0219408516070876</v>
      </c>
      <c r="T56" s="10">
        <f t="shared" si="17"/>
        <v>702056579.85000002</v>
      </c>
      <c r="U56" s="12">
        <f t="shared" si="18"/>
        <v>2</v>
      </c>
      <c r="V56" s="11">
        <f t="shared" si="19"/>
        <v>0.42076637385971244</v>
      </c>
      <c r="W56" s="11">
        <f t="shared" si="20"/>
        <v>0.40518641511523745</v>
      </c>
      <c r="X56" s="11">
        <f t="shared" si="21"/>
        <v>4.5747738876291945E-2</v>
      </c>
      <c r="Y56" s="12">
        <f t="shared" si="22"/>
        <v>62</v>
      </c>
      <c r="Z56" s="12">
        <f t="shared" si="23"/>
        <v>26</v>
      </c>
      <c r="AA56" s="12">
        <f t="shared" si="24"/>
        <v>46</v>
      </c>
      <c r="AB56" s="12">
        <f t="shared" si="25"/>
        <v>69</v>
      </c>
      <c r="AC56" s="5"/>
    </row>
    <row r="57" spans="1:29" x14ac:dyDescent="0.25">
      <c r="A57" s="5" t="s">
        <v>238</v>
      </c>
      <c r="B57" s="6" t="s">
        <v>239</v>
      </c>
      <c r="C57" s="7">
        <v>25085</v>
      </c>
      <c r="D57" s="8">
        <v>165380604.72</v>
      </c>
      <c r="E57" s="8">
        <v>169166838.38999999</v>
      </c>
      <c r="F57" s="8">
        <v>169166838.38999999</v>
      </c>
      <c r="G57" s="8">
        <v>57822498.259999998</v>
      </c>
      <c r="H57" s="8">
        <v>159945404.36000001</v>
      </c>
      <c r="I57" s="8">
        <v>74562230.989999995</v>
      </c>
      <c r="J57" s="8">
        <v>4021159.51</v>
      </c>
      <c r="K57" s="9">
        <v>-5.8700000000000002E-2</v>
      </c>
      <c r="L57" s="9">
        <v>1.199999999987496</v>
      </c>
      <c r="M57" s="8">
        <v>761333.1</v>
      </c>
      <c r="N57" s="5" t="s">
        <v>156</v>
      </c>
      <c r="O57" s="5"/>
      <c r="P57" s="10">
        <f t="shared" si="13"/>
        <v>2305.0627171616502</v>
      </c>
      <c r="Q57" s="11">
        <f t="shared" si="14"/>
        <v>0.34180752451432039</v>
      </c>
      <c r="R57" s="10">
        <f t="shared" si="15"/>
        <v>6592.8086394259517</v>
      </c>
      <c r="S57" s="11">
        <f t="shared" si="16"/>
        <v>1.0228940611047488</v>
      </c>
      <c r="T57" s="10">
        <f t="shared" si="17"/>
        <v>78583390.5</v>
      </c>
      <c r="U57" s="12">
        <f t="shared" si="18"/>
        <v>2</v>
      </c>
      <c r="V57" s="11">
        <f t="shared" si="19"/>
        <v>0.49131383808394402</v>
      </c>
      <c r="W57" s="11">
        <f t="shared" si="20"/>
        <v>0.46617301252480942</v>
      </c>
      <c r="X57" s="11">
        <f t="shared" si="21"/>
        <v>4.603521079687584E-3</v>
      </c>
      <c r="Y57" s="12">
        <f t="shared" si="22"/>
        <v>47</v>
      </c>
      <c r="Z57" s="12">
        <f t="shared" si="23"/>
        <v>13</v>
      </c>
      <c r="AA57" s="12">
        <f t="shared" si="24"/>
        <v>44</v>
      </c>
      <c r="AB57" s="12">
        <f t="shared" si="25"/>
        <v>41</v>
      </c>
      <c r="AC57" s="5" t="s">
        <v>157</v>
      </c>
    </row>
    <row r="58" spans="1:29" x14ac:dyDescent="0.25">
      <c r="A58" s="5" t="s">
        <v>240</v>
      </c>
      <c r="B58" s="6" t="s">
        <v>241</v>
      </c>
      <c r="C58" s="7">
        <v>29054</v>
      </c>
      <c r="D58" s="8">
        <v>323546601.47000003</v>
      </c>
      <c r="E58" s="8">
        <v>321081570.10000002</v>
      </c>
      <c r="F58" s="8">
        <v>321081570.10000002</v>
      </c>
      <c r="G58" s="8">
        <v>109798768.59999999</v>
      </c>
      <c r="H58" s="8">
        <v>284066547.81999999</v>
      </c>
      <c r="I58" s="8">
        <v>124661051.37</v>
      </c>
      <c r="J58" s="8">
        <v>6160281.4500000002</v>
      </c>
      <c r="K58" s="9">
        <v>-0.14810000000000001</v>
      </c>
      <c r="L58" s="9">
        <v>1.200527547529656</v>
      </c>
      <c r="M58" s="8">
        <v>2117466.98</v>
      </c>
      <c r="N58" s="5" t="s">
        <v>156</v>
      </c>
      <c r="O58" s="5"/>
      <c r="P58" s="10">
        <f t="shared" si="13"/>
        <v>3779.1274385626762</v>
      </c>
      <c r="Q58" s="11">
        <f t="shared" si="14"/>
        <v>0.3419653409748914</v>
      </c>
      <c r="R58" s="10">
        <f t="shared" si="15"/>
        <v>11136.043280443313</v>
      </c>
      <c r="S58" s="11">
        <f t="shared" si="16"/>
        <v>0.99238121692887393</v>
      </c>
      <c r="T58" s="10">
        <f t="shared" si="17"/>
        <v>130821332.82000001</v>
      </c>
      <c r="U58" s="12">
        <f t="shared" si="18"/>
        <v>2</v>
      </c>
      <c r="V58" s="11">
        <f t="shared" si="19"/>
        <v>0.46053058279461867</v>
      </c>
      <c r="W58" s="11">
        <f t="shared" si="20"/>
        <v>0.43884453247551003</v>
      </c>
      <c r="X58" s="11">
        <f t="shared" si="21"/>
        <v>6.5445502143416465E-3</v>
      </c>
      <c r="Y58" s="12">
        <f t="shared" si="22"/>
        <v>13</v>
      </c>
      <c r="Z58" s="12">
        <f t="shared" si="23"/>
        <v>12</v>
      </c>
      <c r="AA58" s="12">
        <f t="shared" si="24"/>
        <v>64</v>
      </c>
      <c r="AB58" s="12">
        <f t="shared" si="25"/>
        <v>49</v>
      </c>
      <c r="AC58" s="5" t="s">
        <v>157</v>
      </c>
    </row>
    <row r="59" spans="1:29" x14ac:dyDescent="0.25">
      <c r="A59" s="5" t="s">
        <v>242</v>
      </c>
      <c r="B59" s="6" t="s">
        <v>243</v>
      </c>
      <c r="C59" s="7">
        <v>17832</v>
      </c>
      <c r="D59" s="8">
        <v>152311704.11000001</v>
      </c>
      <c r="E59" s="8">
        <v>201648981.71000001</v>
      </c>
      <c r="F59" s="8">
        <v>201648981.71000001</v>
      </c>
      <c r="G59" s="8">
        <v>47216338.920000002</v>
      </c>
      <c r="H59" s="8">
        <v>132246305.09</v>
      </c>
      <c r="I59" s="8">
        <v>70698366.180000007</v>
      </c>
      <c r="J59" s="8">
        <v>3294079.26</v>
      </c>
      <c r="K59" s="9">
        <v>-0.12659999999999999</v>
      </c>
      <c r="L59" s="9">
        <v>1.200000000015123</v>
      </c>
      <c r="M59" s="8">
        <v>2627584.56</v>
      </c>
      <c r="N59" s="5" t="s">
        <v>120</v>
      </c>
      <c r="O59" s="5"/>
      <c r="P59" s="10">
        <f t="shared" si="13"/>
        <v>2647.8431426648722</v>
      </c>
      <c r="Q59" s="11">
        <f t="shared" si="14"/>
        <v>0.23415113986493535</v>
      </c>
      <c r="R59" s="10">
        <f t="shared" si="15"/>
        <v>8541.4818365859137</v>
      </c>
      <c r="S59" s="11">
        <f t="shared" si="16"/>
        <v>1.3239230884342839</v>
      </c>
      <c r="T59" s="10">
        <f t="shared" si="17"/>
        <v>73992445.440000013</v>
      </c>
      <c r="U59" s="12">
        <f t="shared" si="18"/>
        <v>2</v>
      </c>
      <c r="V59" s="11">
        <f t="shared" si="19"/>
        <v>0.55950482238157484</v>
      </c>
      <c r="W59" s="11">
        <f t="shared" si="20"/>
        <v>0.53459615474236766</v>
      </c>
      <c r="X59" s="11">
        <f t="shared" si="21"/>
        <v>1.7251363415265512E-2</v>
      </c>
      <c r="Y59" s="12">
        <f t="shared" si="22"/>
        <v>38</v>
      </c>
      <c r="Z59" s="12">
        <f t="shared" si="23"/>
        <v>78</v>
      </c>
      <c r="AA59" s="12">
        <f t="shared" si="24"/>
        <v>1</v>
      </c>
      <c r="AB59" s="12">
        <f t="shared" si="25"/>
        <v>10</v>
      </c>
      <c r="AC59" s="5"/>
    </row>
    <row r="60" spans="1:29" x14ac:dyDescent="0.25">
      <c r="A60" s="5" t="s">
        <v>244</v>
      </c>
      <c r="B60" s="6" t="s">
        <v>245</v>
      </c>
      <c r="C60" s="7">
        <v>21064</v>
      </c>
      <c r="D60" s="8">
        <v>299205520.97000003</v>
      </c>
      <c r="E60" s="8">
        <v>284654835.94999999</v>
      </c>
      <c r="F60" s="8">
        <v>284654835.94999999</v>
      </c>
      <c r="G60" s="8">
        <v>94323287.719999999</v>
      </c>
      <c r="H60" s="8">
        <v>293257537.48000002</v>
      </c>
      <c r="I60" s="8">
        <v>113021362.51000001</v>
      </c>
      <c r="J60" s="8">
        <v>7182085.5199999996</v>
      </c>
      <c r="K60" s="9">
        <v>8.2400000000000001E-2</v>
      </c>
      <c r="L60" s="9">
        <v>1.1999999999795401</v>
      </c>
      <c r="M60" s="8">
        <v>15258121.5</v>
      </c>
      <c r="N60" s="5" t="s">
        <v>156</v>
      </c>
      <c r="O60" s="5"/>
      <c r="P60" s="10">
        <f t="shared" si="13"/>
        <v>4477.9380801367261</v>
      </c>
      <c r="Q60" s="11">
        <f t="shared" si="14"/>
        <v>0.33136021527689069</v>
      </c>
      <c r="R60" s="10">
        <f t="shared" si="15"/>
        <v>14204.59176652108</v>
      </c>
      <c r="S60" s="11">
        <f t="shared" si="16"/>
        <v>0.95136892871218448</v>
      </c>
      <c r="T60" s="10">
        <f t="shared" si="17"/>
        <v>120203448.03</v>
      </c>
      <c r="U60" s="12">
        <f t="shared" si="18"/>
        <v>2</v>
      </c>
      <c r="V60" s="11">
        <f t="shared" si="19"/>
        <v>0.40989039553057627</v>
      </c>
      <c r="W60" s="11">
        <f t="shared" si="20"/>
        <v>0.3853996847999448</v>
      </c>
      <c r="X60" s="11">
        <f t="shared" si="21"/>
        <v>5.0995454397146173E-2</v>
      </c>
      <c r="Y60" s="12">
        <f t="shared" si="22"/>
        <v>7</v>
      </c>
      <c r="Z60" s="12">
        <f t="shared" si="23"/>
        <v>22</v>
      </c>
      <c r="AA60" s="12">
        <f t="shared" si="24"/>
        <v>79</v>
      </c>
      <c r="AB60" s="12">
        <f t="shared" si="25"/>
        <v>72</v>
      </c>
      <c r="AC60" s="5" t="s">
        <v>157</v>
      </c>
    </row>
    <row r="61" spans="1:29" x14ac:dyDescent="0.25">
      <c r="A61" s="5" t="s">
        <v>246</v>
      </c>
      <c r="B61" s="6" t="s">
        <v>247</v>
      </c>
      <c r="C61" s="7">
        <v>14158</v>
      </c>
      <c r="D61" s="8">
        <v>139184487.91999999</v>
      </c>
      <c r="E61" s="8">
        <v>145442074.81</v>
      </c>
      <c r="F61" s="8">
        <v>145442074.81</v>
      </c>
      <c r="G61" s="8">
        <v>29866095.57</v>
      </c>
      <c r="H61" s="8">
        <v>118719497</v>
      </c>
      <c r="I61" s="8">
        <v>55596696.140000001</v>
      </c>
      <c r="J61" s="8">
        <v>2723229.68</v>
      </c>
      <c r="K61" s="9">
        <v>-2.3123999999999998</v>
      </c>
      <c r="L61" s="9">
        <v>1.2</v>
      </c>
      <c r="M61" s="8">
        <v>1891908.64</v>
      </c>
      <c r="N61" s="5" t="s">
        <v>156</v>
      </c>
      <c r="O61" s="5"/>
      <c r="P61" s="10">
        <f t="shared" si="13"/>
        <v>2109.4854901822291</v>
      </c>
      <c r="Q61" s="11">
        <f t="shared" si="14"/>
        <v>0.20534701260976876</v>
      </c>
      <c r="R61" s="10">
        <f t="shared" si="15"/>
        <v>9830.8015199886977</v>
      </c>
      <c r="S61" s="11">
        <f t="shared" si="16"/>
        <v>1.0449589389127669</v>
      </c>
      <c r="T61" s="10">
        <f t="shared" si="17"/>
        <v>58319925.82</v>
      </c>
      <c r="U61" s="12">
        <f t="shared" si="18"/>
        <v>2</v>
      </c>
      <c r="V61" s="11">
        <f t="shared" si="19"/>
        <v>0.49124134867249314</v>
      </c>
      <c r="W61" s="11">
        <f t="shared" si="20"/>
        <v>0.46830299609507275</v>
      </c>
      <c r="X61" s="11">
        <f t="shared" si="21"/>
        <v>1.3592812448233635E-2</v>
      </c>
      <c r="Y61" s="12">
        <f t="shared" si="22"/>
        <v>55</v>
      </c>
      <c r="Z61" s="12">
        <f t="shared" si="23"/>
        <v>86</v>
      </c>
      <c r="AA61" s="12">
        <f t="shared" si="24"/>
        <v>34</v>
      </c>
      <c r="AB61" s="12">
        <f t="shared" si="25"/>
        <v>42</v>
      </c>
      <c r="AC61" s="5" t="s">
        <v>157</v>
      </c>
    </row>
    <row r="62" spans="1:29" x14ac:dyDescent="0.25">
      <c r="A62" s="5" t="s">
        <v>248</v>
      </c>
      <c r="B62" s="6" t="s">
        <v>249</v>
      </c>
      <c r="C62" s="7">
        <v>149093</v>
      </c>
      <c r="D62" s="8">
        <v>533539591.49000001</v>
      </c>
      <c r="E62" s="8">
        <v>526934755.04000002</v>
      </c>
      <c r="F62" s="8">
        <v>526934755.04000002</v>
      </c>
      <c r="G62" s="8">
        <v>149594815.28999999</v>
      </c>
      <c r="H62" s="8">
        <v>491398786.77999997</v>
      </c>
      <c r="I62" s="8">
        <v>220663067.15000001</v>
      </c>
      <c r="J62" s="8">
        <v>5402604.3399999999</v>
      </c>
      <c r="K62" s="9">
        <v>-0.30299999999999999</v>
      </c>
      <c r="L62" s="9">
        <v>1.199999999991898</v>
      </c>
      <c r="M62" s="8">
        <v>9253646.8800000008</v>
      </c>
      <c r="N62" s="5" t="s">
        <v>120</v>
      </c>
      <c r="O62" s="5"/>
      <c r="P62" s="10">
        <f t="shared" si="13"/>
        <v>1003.3657870590839</v>
      </c>
      <c r="Q62" s="11">
        <f t="shared" si="14"/>
        <v>0.28389627721299981</v>
      </c>
      <c r="R62" s="10">
        <f t="shared" si="15"/>
        <v>3578.569023964908</v>
      </c>
      <c r="S62" s="11">
        <f t="shared" si="16"/>
        <v>0.98762071914559357</v>
      </c>
      <c r="T62" s="10">
        <f t="shared" si="17"/>
        <v>226065671.49000001</v>
      </c>
      <c r="U62" s="12">
        <f t="shared" si="18"/>
        <v>2</v>
      </c>
      <c r="V62" s="11">
        <f t="shared" si="19"/>
        <v>0.46004523733431596</v>
      </c>
      <c r="W62" s="11">
        <f t="shared" si="20"/>
        <v>0.44905089936412729</v>
      </c>
      <c r="X62" s="11">
        <f t="shared" si="21"/>
        <v>1.734388043098661E-2</v>
      </c>
      <c r="Y62" s="12">
        <f t="shared" si="22"/>
        <v>90</v>
      </c>
      <c r="Z62" s="12">
        <f t="shared" si="23"/>
        <v>51</v>
      </c>
      <c r="AA62" s="12">
        <f t="shared" si="24"/>
        <v>69</v>
      </c>
      <c r="AB62" s="12">
        <f t="shared" si="25"/>
        <v>50</v>
      </c>
      <c r="AC62" s="5"/>
    </row>
    <row r="63" spans="1:29" x14ac:dyDescent="0.25">
      <c r="A63" s="5" t="s">
        <v>250</v>
      </c>
      <c r="B63" s="6" t="s">
        <v>251</v>
      </c>
      <c r="C63" s="7">
        <v>23126</v>
      </c>
      <c r="D63" s="8">
        <v>482103072.44999999</v>
      </c>
      <c r="E63" s="8">
        <v>476915672.81</v>
      </c>
      <c r="F63" s="8">
        <v>476915672.81</v>
      </c>
      <c r="G63" s="8">
        <v>127687788.39</v>
      </c>
      <c r="H63" s="8">
        <v>466380497.62</v>
      </c>
      <c r="I63" s="8">
        <v>190444160.75</v>
      </c>
      <c r="J63" s="8">
        <v>9201295.9800000004</v>
      </c>
      <c r="K63" s="9">
        <v>-9.4999999999999998E-3</v>
      </c>
      <c r="L63" s="9">
        <v>1.1995233173317379</v>
      </c>
      <c r="M63" s="8">
        <v>18112120.27</v>
      </c>
      <c r="N63" s="5" t="s">
        <v>156</v>
      </c>
      <c r="O63" s="5"/>
      <c r="P63" s="10">
        <f t="shared" si="13"/>
        <v>5521.3953294992652</v>
      </c>
      <c r="Q63" s="11">
        <f t="shared" si="14"/>
        <v>0.26773661607231342</v>
      </c>
      <c r="R63" s="10">
        <f t="shared" si="15"/>
        <v>20846.798947072559</v>
      </c>
      <c r="S63" s="11">
        <f t="shared" si="16"/>
        <v>0.98924006102338624</v>
      </c>
      <c r="T63" s="10">
        <f t="shared" si="17"/>
        <v>199645456.72999999</v>
      </c>
      <c r="U63" s="12">
        <f t="shared" si="18"/>
        <v>2</v>
      </c>
      <c r="V63" s="11">
        <f t="shared" si="19"/>
        <v>0.42807419638860666</v>
      </c>
      <c r="W63" s="11">
        <f t="shared" si="20"/>
        <v>0.40834503527025934</v>
      </c>
      <c r="X63" s="11">
        <f t="shared" si="21"/>
        <v>3.7568979135428449E-2</v>
      </c>
      <c r="Y63" s="12">
        <f t="shared" si="22"/>
        <v>4</v>
      </c>
      <c r="Z63" s="12">
        <f t="shared" si="23"/>
        <v>58</v>
      </c>
      <c r="AA63" s="12">
        <f t="shared" si="24"/>
        <v>68</v>
      </c>
      <c r="AB63" s="12">
        <f t="shared" si="25"/>
        <v>67</v>
      </c>
      <c r="AC63" s="5" t="s">
        <v>157</v>
      </c>
    </row>
    <row r="64" spans="1:29" x14ac:dyDescent="0.25">
      <c r="A64" s="5" t="s">
        <v>252</v>
      </c>
      <c r="B64" s="6" t="s">
        <v>253</v>
      </c>
      <c r="C64" s="7">
        <v>137612</v>
      </c>
      <c r="D64" s="8">
        <v>1018057232.9299999</v>
      </c>
      <c r="E64" s="8">
        <v>970179822.50999999</v>
      </c>
      <c r="F64" s="8">
        <v>970179822.50999999</v>
      </c>
      <c r="G64" s="8">
        <v>367230163.87</v>
      </c>
      <c r="H64" s="8">
        <v>927887902.67999995</v>
      </c>
      <c r="I64" s="8">
        <v>469938982.06999999</v>
      </c>
      <c r="J64" s="8">
        <v>18693358.5</v>
      </c>
      <c r="K64" s="9">
        <v>-0.26779999999999998</v>
      </c>
      <c r="L64" s="9">
        <v>1.200000000004261</v>
      </c>
      <c r="M64" s="8">
        <v>4261121.87</v>
      </c>
      <c r="N64" s="5" t="s">
        <v>120</v>
      </c>
      <c r="O64" s="5"/>
      <c r="P64" s="10">
        <f t="shared" si="13"/>
        <v>2668.5911393628462</v>
      </c>
      <c r="Q64" s="11">
        <f t="shared" si="14"/>
        <v>0.37851762668071243</v>
      </c>
      <c r="R64" s="10">
        <f t="shared" si="15"/>
        <v>7398.026574208644</v>
      </c>
      <c r="S64" s="11">
        <f t="shared" si="16"/>
        <v>0.95297178894136703</v>
      </c>
      <c r="T64" s="10">
        <f t="shared" si="17"/>
        <v>488632340.56999999</v>
      </c>
      <c r="U64" s="12">
        <f t="shared" si="18"/>
        <v>2</v>
      </c>
      <c r="V64" s="11">
        <f t="shared" si="19"/>
        <v>0.52660708169455928</v>
      </c>
      <c r="W64" s="11">
        <f t="shared" si="20"/>
        <v>0.50646094287109977</v>
      </c>
      <c r="X64" s="11">
        <f t="shared" si="21"/>
        <v>4.1855425531788235E-3</v>
      </c>
      <c r="Y64" s="12">
        <f t="shared" si="22"/>
        <v>36</v>
      </c>
      <c r="Z64" s="12">
        <f t="shared" si="23"/>
        <v>5</v>
      </c>
      <c r="AA64" s="12">
        <f t="shared" si="24"/>
        <v>78</v>
      </c>
      <c r="AB64" s="12">
        <f t="shared" si="25"/>
        <v>23</v>
      </c>
      <c r="AC64" s="5"/>
    </row>
    <row r="65" spans="1:29" x14ac:dyDescent="0.25">
      <c r="A65" s="5" t="s">
        <v>254</v>
      </c>
      <c r="B65" s="6" t="s">
        <v>255</v>
      </c>
      <c r="C65" s="7">
        <v>59113</v>
      </c>
      <c r="D65" s="8">
        <v>424591132.45999998</v>
      </c>
      <c r="E65" s="8">
        <v>518740198.18000001</v>
      </c>
      <c r="F65" s="8">
        <v>518740198.18000001</v>
      </c>
      <c r="G65" s="8">
        <v>189419096.78999999</v>
      </c>
      <c r="H65" s="8">
        <v>403775777.05000001</v>
      </c>
      <c r="I65" s="8">
        <v>202864550.06</v>
      </c>
      <c r="J65" s="8">
        <v>7401052.1900000004</v>
      </c>
      <c r="K65" s="9">
        <v>0.12959999999999999</v>
      </c>
      <c r="L65" s="9">
        <v>1.2</v>
      </c>
      <c r="M65" s="8">
        <v>121431535.61</v>
      </c>
      <c r="N65" s="5" t="s">
        <v>120</v>
      </c>
      <c r="O65" s="5"/>
      <c r="P65" s="10">
        <f t="shared" si="13"/>
        <v>3204.3560095072148</v>
      </c>
      <c r="Q65" s="11">
        <f t="shared" si="14"/>
        <v>0.36515214640117905</v>
      </c>
      <c r="R65" s="10">
        <f t="shared" si="15"/>
        <v>7182.7031695227779</v>
      </c>
      <c r="S65" s="11">
        <f t="shared" si="16"/>
        <v>1.2217405370067866</v>
      </c>
      <c r="T65" s="10">
        <f t="shared" si="17"/>
        <v>210265602.25</v>
      </c>
      <c r="U65" s="12">
        <f t="shared" si="18"/>
        <v>2</v>
      </c>
      <c r="V65" s="11">
        <f t="shared" si="19"/>
        <v>0.5207484306914294</v>
      </c>
      <c r="W65" s="11">
        <f t="shared" si="20"/>
        <v>0.50241882151063033</v>
      </c>
      <c r="X65" s="11">
        <f t="shared" si="21"/>
        <v>0.28599640059943987</v>
      </c>
      <c r="Y65" s="12">
        <f t="shared" si="22"/>
        <v>24</v>
      </c>
      <c r="Z65" s="12">
        <f t="shared" si="23"/>
        <v>8</v>
      </c>
      <c r="AA65" s="12">
        <f t="shared" si="24"/>
        <v>2</v>
      </c>
      <c r="AB65" s="12">
        <f t="shared" si="25"/>
        <v>26</v>
      </c>
      <c r="AC65" s="5"/>
    </row>
    <row r="66" spans="1:29" x14ac:dyDescent="0.25">
      <c r="A66" s="5" t="s">
        <v>256</v>
      </c>
      <c r="B66" s="6" t="s">
        <v>257</v>
      </c>
      <c r="C66" s="7">
        <v>17950</v>
      </c>
      <c r="D66" s="8">
        <v>194236508.53999999</v>
      </c>
      <c r="E66" s="8">
        <v>197192909.66</v>
      </c>
      <c r="F66" s="8">
        <v>197192909.66</v>
      </c>
      <c r="G66" s="8">
        <v>59980815.43</v>
      </c>
      <c r="H66" s="8">
        <v>186586213.84999999</v>
      </c>
      <c r="I66" s="8">
        <v>91907886.780000001</v>
      </c>
      <c r="J66" s="8">
        <v>4021729.5</v>
      </c>
      <c r="K66" s="9">
        <v>3.5299999999999998E-2</v>
      </c>
      <c r="L66" s="9">
        <v>1.2</v>
      </c>
      <c r="M66" s="8">
        <v>3066303.41</v>
      </c>
      <c r="N66" s="5" t="s">
        <v>120</v>
      </c>
      <c r="O66" s="5"/>
      <c r="P66" s="10">
        <f t="shared" ref="P66:P93" si="26">IFERROR(G66/C66,"")</f>
        <v>3341.5496061281337</v>
      </c>
      <c r="Q66" s="11">
        <f t="shared" ref="Q66:Q93" si="27">IFERROR(G66/F66,"")</f>
        <v>0.30417328662282495</v>
      </c>
      <c r="R66" s="10">
        <f t="shared" ref="R66:R93" si="28">IFERROR(D66/C66,"")</f>
        <v>10820.975406128133</v>
      </c>
      <c r="S66" s="11">
        <f t="shared" ref="S66:S93" si="29">IFERROR(E66/D66,"")</f>
        <v>1.0152206253202456</v>
      </c>
      <c r="T66" s="10">
        <f t="shared" ref="T66:T93" si="30">SUM(I66:J66)</f>
        <v>95929616.280000001</v>
      </c>
      <c r="U66" s="12">
        <f t="shared" ref="U66:U93" si="31">COUNT(I66:J66)</f>
        <v>2</v>
      </c>
      <c r="V66" s="11">
        <f t="shared" ref="V66:V93" si="32">IFERROR(T66/H66,"")</f>
        <v>0.51413024735642876</v>
      </c>
      <c r="W66" s="11">
        <f t="shared" ref="W66:W93" si="33">IFERROR(I66/H66,"")</f>
        <v>0.49257597806173614</v>
      </c>
      <c r="X66" s="11">
        <f t="shared" ref="X66:X93" si="34">IF(M66="","",IFERROR(M66/D66,""))</f>
        <v>1.578644217324645E-2</v>
      </c>
      <c r="Y66" s="12">
        <f t="shared" ref="Y66:Y93" si="35">IFERROR(RANK(P66,P$2:P$93),"")</f>
        <v>19</v>
      </c>
      <c r="Z66" s="12">
        <f t="shared" ref="Z66:Z93" si="36">IFERROR(RANK(Q66,Q$2:Q$93),"")</f>
        <v>37</v>
      </c>
      <c r="AA66" s="12">
        <f t="shared" ref="AA66:AA93" si="37">IFERROR(RANK(S66,S$2:S$93),"")</f>
        <v>49</v>
      </c>
      <c r="AB66" s="12">
        <f t="shared" ref="AB66:AB93" si="38">IF(U66&gt;=2,COUNTIFS(U$2:U$93,"&gt;=2",V$2:V$93,"&gt;"&amp;V66)+1,"n/c")</f>
        <v>29</v>
      </c>
      <c r="AC66" s="5"/>
    </row>
    <row r="67" spans="1:29" x14ac:dyDescent="0.25">
      <c r="A67" s="5" t="s">
        <v>258</v>
      </c>
      <c r="B67" s="6" t="s">
        <v>259</v>
      </c>
      <c r="C67" s="7">
        <v>9264</v>
      </c>
      <c r="D67" s="8">
        <v>103582023.63</v>
      </c>
      <c r="E67" s="8">
        <v>116509047.45</v>
      </c>
      <c r="F67" s="8">
        <v>116509047.45</v>
      </c>
      <c r="G67" s="8">
        <v>34434303</v>
      </c>
      <c r="H67" s="8">
        <v>100631229.63</v>
      </c>
      <c r="I67" s="8">
        <v>40738600.189999998</v>
      </c>
      <c r="J67" s="8">
        <v>2519325.08</v>
      </c>
      <c r="K67" s="9">
        <v>0.6119</v>
      </c>
      <c r="L67" s="9">
        <v>1.200000000039416</v>
      </c>
      <c r="M67" s="8">
        <v>14457416.550000001</v>
      </c>
      <c r="N67" s="5" t="s">
        <v>156</v>
      </c>
      <c r="O67" s="5"/>
      <c r="P67" s="10">
        <f t="shared" si="26"/>
        <v>3717.0016191709847</v>
      </c>
      <c r="Q67" s="11">
        <f t="shared" si="27"/>
        <v>0.29555046370778648</v>
      </c>
      <c r="R67" s="10">
        <f t="shared" si="28"/>
        <v>11181.133811528496</v>
      </c>
      <c r="S67" s="11">
        <f t="shared" si="29"/>
        <v>1.1247998771116499</v>
      </c>
      <c r="T67" s="10">
        <f t="shared" si="30"/>
        <v>43257925.269999996</v>
      </c>
      <c r="U67" s="12">
        <f t="shared" si="31"/>
        <v>2</v>
      </c>
      <c r="V67" s="11">
        <f t="shared" si="32"/>
        <v>0.42986581232337467</v>
      </c>
      <c r="W67" s="11">
        <f t="shared" si="33"/>
        <v>0.40483059125668364</v>
      </c>
      <c r="X67" s="11">
        <f t="shared" si="34"/>
        <v>0.13957457137198431</v>
      </c>
      <c r="Y67" s="12">
        <f t="shared" si="35"/>
        <v>15</v>
      </c>
      <c r="Z67" s="12">
        <f t="shared" si="36"/>
        <v>45</v>
      </c>
      <c r="AA67" s="12">
        <f t="shared" si="37"/>
        <v>10</v>
      </c>
      <c r="AB67" s="12">
        <f t="shared" si="38"/>
        <v>66</v>
      </c>
      <c r="AC67" s="5" t="s">
        <v>157</v>
      </c>
    </row>
    <row r="68" spans="1:29" x14ac:dyDescent="0.25">
      <c r="A68" s="5" t="s">
        <v>260</v>
      </c>
      <c r="B68" s="6" t="s">
        <v>261</v>
      </c>
      <c r="C68" s="7">
        <v>168099</v>
      </c>
      <c r="D68" s="8">
        <v>1098040497.9100001</v>
      </c>
      <c r="E68" s="8">
        <v>1093608299.46</v>
      </c>
      <c r="F68" s="8">
        <v>1093608299.46</v>
      </c>
      <c r="G68" s="8">
        <v>271568761.04000002</v>
      </c>
      <c r="H68" s="8">
        <v>1037460767.27</v>
      </c>
      <c r="I68" s="8">
        <v>562460405.13</v>
      </c>
      <c r="J68" s="8">
        <v>23399149.329999998</v>
      </c>
      <c r="K68" s="9">
        <v>-5.2900000000000003E-2</v>
      </c>
      <c r="L68" s="9">
        <v>1.1999999999961659</v>
      </c>
      <c r="M68" s="8">
        <v>17299429.329999998</v>
      </c>
      <c r="N68" s="5" t="s">
        <v>120</v>
      </c>
      <c r="O68" s="5"/>
      <c r="P68" s="10">
        <f t="shared" si="26"/>
        <v>1615.5287124849049</v>
      </c>
      <c r="Q68" s="11">
        <f t="shared" si="27"/>
        <v>0.24832361017568608</v>
      </c>
      <c r="R68" s="10">
        <f t="shared" si="28"/>
        <v>6532.1060679123621</v>
      </c>
      <c r="S68" s="11">
        <f t="shared" si="29"/>
        <v>0.99596353826799988</v>
      </c>
      <c r="T68" s="10">
        <f t="shared" si="30"/>
        <v>585859554.46000004</v>
      </c>
      <c r="U68" s="12">
        <f t="shared" si="31"/>
        <v>2</v>
      </c>
      <c r="V68" s="11">
        <f t="shared" si="32"/>
        <v>0.56470526206176008</v>
      </c>
      <c r="W68" s="11">
        <f t="shared" si="33"/>
        <v>0.54215101223545281</v>
      </c>
      <c r="X68" s="11">
        <f t="shared" si="34"/>
        <v>1.575481902801178E-2</v>
      </c>
      <c r="Y68" s="12">
        <f t="shared" si="35"/>
        <v>72</v>
      </c>
      <c r="Z68" s="12">
        <f t="shared" si="36"/>
        <v>72</v>
      </c>
      <c r="AA68" s="12">
        <f t="shared" si="37"/>
        <v>62</v>
      </c>
      <c r="AB68" s="12">
        <f t="shared" si="38"/>
        <v>9</v>
      </c>
      <c r="AC68" s="5"/>
    </row>
    <row r="69" spans="1:29" x14ac:dyDescent="0.25">
      <c r="A69" s="13" t="s">
        <v>262</v>
      </c>
      <c r="B69" s="14" t="s">
        <v>263</v>
      </c>
      <c r="C69" s="15">
        <v>6729894</v>
      </c>
      <c r="D69" s="16">
        <v>38957557570.160004</v>
      </c>
      <c r="E69" s="16">
        <v>39263760713.760002</v>
      </c>
      <c r="F69" s="16">
        <v>39634080318.040001</v>
      </c>
      <c r="G69" s="16">
        <v>7642644288.0900002</v>
      </c>
      <c r="H69" s="16">
        <v>34440650183.389999</v>
      </c>
      <c r="I69" s="16">
        <v>16010608721.33</v>
      </c>
      <c r="J69" s="16">
        <v>800959814.26999998</v>
      </c>
      <c r="K69" s="17">
        <v>0.48699999999999999</v>
      </c>
      <c r="L69" s="17">
        <v>1.200000000000057</v>
      </c>
      <c r="M69" s="16">
        <v>42571319.060000002</v>
      </c>
      <c r="N69" s="13" t="s">
        <v>120</v>
      </c>
      <c r="O69" s="13"/>
      <c r="P69" s="18">
        <f t="shared" si="26"/>
        <v>1135.6262502930954</v>
      </c>
      <c r="Q69" s="19">
        <f t="shared" si="27"/>
        <v>0.19283011556625787</v>
      </c>
      <c r="R69" s="18">
        <f t="shared" si="28"/>
        <v>5788.7327155762041</v>
      </c>
      <c r="S69" s="19">
        <f t="shared" si="29"/>
        <v>1.0078599163473878</v>
      </c>
      <c r="T69" s="18">
        <f t="shared" si="30"/>
        <v>16811568535.6</v>
      </c>
      <c r="U69" s="20">
        <f t="shared" si="31"/>
        <v>2</v>
      </c>
      <c r="V69" s="19">
        <f t="shared" si="32"/>
        <v>0.48813156679916181</v>
      </c>
      <c r="W69" s="19">
        <f t="shared" si="33"/>
        <v>0.46487533295906186</v>
      </c>
      <c r="X69" s="19">
        <f t="shared" si="34"/>
        <v>1.0927615003412843E-3</v>
      </c>
      <c r="Y69" s="20">
        <f t="shared" si="35"/>
        <v>85</v>
      </c>
      <c r="Z69" s="20">
        <f t="shared" si="36"/>
        <v>88</v>
      </c>
      <c r="AA69" s="20">
        <f t="shared" si="37"/>
        <v>54</v>
      </c>
      <c r="AB69" s="20">
        <f t="shared" si="38"/>
        <v>45</v>
      </c>
      <c r="AC69" s="13"/>
    </row>
    <row r="70" spans="1:29" x14ac:dyDescent="0.25">
      <c r="A70" s="5" t="s">
        <v>264</v>
      </c>
      <c r="B70" s="6" t="s">
        <v>265</v>
      </c>
      <c r="C70" s="7">
        <v>10579</v>
      </c>
      <c r="D70" s="8">
        <v>101609524.48</v>
      </c>
      <c r="E70" s="8">
        <v>98032639.799999997</v>
      </c>
      <c r="F70" s="8">
        <v>98032639.799999997</v>
      </c>
      <c r="G70" s="8">
        <v>26598764.199999999</v>
      </c>
      <c r="H70" s="8">
        <v>100421500.48</v>
      </c>
      <c r="I70" s="8">
        <v>40758766.18</v>
      </c>
      <c r="J70" s="8">
        <v>3418074.02</v>
      </c>
      <c r="K70" s="9">
        <v>-8.6699999999999999E-2</v>
      </c>
      <c r="L70" s="9">
        <v>1.199999999940647</v>
      </c>
      <c r="M70" s="8">
        <v>5294814.37</v>
      </c>
      <c r="N70" s="5" t="s">
        <v>120</v>
      </c>
      <c r="O70" s="5"/>
      <c r="P70" s="10">
        <f t="shared" si="26"/>
        <v>2514.2985348331599</v>
      </c>
      <c r="Q70" s="11">
        <f t="shared" si="27"/>
        <v>0.27132559374372778</v>
      </c>
      <c r="R70" s="10">
        <f t="shared" si="28"/>
        <v>9604.8326382455816</v>
      </c>
      <c r="S70" s="11">
        <f t="shared" si="29"/>
        <v>0.96479774215748793</v>
      </c>
      <c r="T70" s="10">
        <f t="shared" si="30"/>
        <v>44176840.200000003</v>
      </c>
      <c r="U70" s="12">
        <f t="shared" si="31"/>
        <v>2</v>
      </c>
      <c r="V70" s="11">
        <f t="shared" si="32"/>
        <v>0.43991416169685976</v>
      </c>
      <c r="W70" s="11">
        <f t="shared" si="33"/>
        <v>0.40587688876564371</v>
      </c>
      <c r="X70" s="11">
        <f t="shared" si="34"/>
        <v>5.2109429673024288E-2</v>
      </c>
      <c r="Y70" s="12">
        <f t="shared" si="35"/>
        <v>41</v>
      </c>
      <c r="Z70" s="12">
        <f t="shared" si="36"/>
        <v>56</v>
      </c>
      <c r="AA70" s="12">
        <f t="shared" si="37"/>
        <v>75</v>
      </c>
      <c r="AB70" s="12">
        <f t="shared" si="38"/>
        <v>63</v>
      </c>
      <c r="AC70" s="5"/>
    </row>
    <row r="71" spans="1:29" x14ac:dyDescent="0.25">
      <c r="A71" s="5" t="s">
        <v>266</v>
      </c>
      <c r="B71" s="6" t="s">
        <v>267</v>
      </c>
      <c r="C71" s="7">
        <v>43686</v>
      </c>
      <c r="D71" s="8">
        <v>253754287.78999999</v>
      </c>
      <c r="E71" s="8">
        <v>282154868.81999999</v>
      </c>
      <c r="F71" s="8">
        <v>282154868.81999999</v>
      </c>
      <c r="G71" s="8">
        <v>98442915.980000004</v>
      </c>
      <c r="H71" s="8">
        <v>238685725.25999999</v>
      </c>
      <c r="I71" s="8">
        <v>86124970.129999995</v>
      </c>
      <c r="J71" s="8">
        <v>5708307.8700000001</v>
      </c>
      <c r="K71" s="9">
        <v>-1.7899999999999999E-2</v>
      </c>
      <c r="L71" s="9">
        <v>1.199999999991638</v>
      </c>
      <c r="M71" s="8">
        <v>73795.62</v>
      </c>
      <c r="N71" s="5" t="s">
        <v>120</v>
      </c>
      <c r="O71" s="5"/>
      <c r="P71" s="10">
        <f t="shared" si="26"/>
        <v>2253.4202257015977</v>
      </c>
      <c r="Q71" s="11">
        <f t="shared" si="27"/>
        <v>0.34889674734906462</v>
      </c>
      <c r="R71" s="10">
        <f t="shared" si="28"/>
        <v>5808.5951515359611</v>
      </c>
      <c r="S71" s="11">
        <f t="shared" si="29"/>
        <v>1.111921580822719</v>
      </c>
      <c r="T71" s="10">
        <f t="shared" si="30"/>
        <v>91833278</v>
      </c>
      <c r="U71" s="12">
        <f t="shared" si="31"/>
        <v>2</v>
      </c>
      <c r="V71" s="11">
        <f t="shared" si="32"/>
        <v>0.38474558082585858</v>
      </c>
      <c r="W71" s="11">
        <f t="shared" si="33"/>
        <v>0.3608299995158244</v>
      </c>
      <c r="X71" s="11">
        <f t="shared" si="34"/>
        <v>2.908152632324038E-4</v>
      </c>
      <c r="Y71" s="12">
        <f t="shared" si="35"/>
        <v>49</v>
      </c>
      <c r="Z71" s="12">
        <f t="shared" si="36"/>
        <v>10</v>
      </c>
      <c r="AA71" s="12">
        <f t="shared" si="37"/>
        <v>11</v>
      </c>
      <c r="AB71" s="12">
        <f t="shared" si="38"/>
        <v>79</v>
      </c>
      <c r="AC71" s="5"/>
    </row>
    <row r="72" spans="1:29" x14ac:dyDescent="0.25">
      <c r="A72" s="5" t="s">
        <v>268</v>
      </c>
      <c r="B72" s="6" t="s">
        <v>269</v>
      </c>
      <c r="C72" s="7">
        <v>18289</v>
      </c>
      <c r="D72" s="8">
        <v>172238290.97999999</v>
      </c>
      <c r="E72" s="8">
        <v>170526839.36000001</v>
      </c>
      <c r="F72" s="8">
        <v>170526839.36000001</v>
      </c>
      <c r="G72" s="8">
        <v>40928346.57</v>
      </c>
      <c r="H72" s="8">
        <v>160990350.22999999</v>
      </c>
      <c r="I72" s="8">
        <v>50142355.700000003</v>
      </c>
      <c r="J72" s="8">
        <v>4034595.37</v>
      </c>
      <c r="K72" s="9">
        <v>-0.31209999999999999</v>
      </c>
      <c r="L72" s="9">
        <v>1.200000000024591</v>
      </c>
      <c r="M72" s="8">
        <v>1110000.76</v>
      </c>
      <c r="N72" s="5" t="s">
        <v>120</v>
      </c>
      <c r="O72" s="5"/>
      <c r="P72" s="10">
        <f t="shared" si="26"/>
        <v>2237.8668363497186</v>
      </c>
      <c r="Q72" s="11">
        <f t="shared" si="27"/>
        <v>0.24001117198680952</v>
      </c>
      <c r="R72" s="10">
        <f t="shared" si="28"/>
        <v>9417.5893148887299</v>
      </c>
      <c r="S72" s="11">
        <f t="shared" si="29"/>
        <v>0.9900634660837484</v>
      </c>
      <c r="T72" s="10">
        <f t="shared" si="30"/>
        <v>54176951.07</v>
      </c>
      <c r="U72" s="12">
        <f t="shared" si="31"/>
        <v>2</v>
      </c>
      <c r="V72" s="11">
        <f t="shared" si="32"/>
        <v>0.33652297167252399</v>
      </c>
      <c r="W72" s="11">
        <f t="shared" si="33"/>
        <v>0.31146187102744838</v>
      </c>
      <c r="X72" s="11">
        <f t="shared" si="34"/>
        <v>6.444564409483669E-3</v>
      </c>
      <c r="Y72" s="12">
        <f t="shared" si="35"/>
        <v>50</v>
      </c>
      <c r="Z72" s="12">
        <f t="shared" si="36"/>
        <v>75</v>
      </c>
      <c r="AA72" s="12">
        <f t="shared" si="37"/>
        <v>66</v>
      </c>
      <c r="AB72" s="12">
        <f t="shared" si="38"/>
        <v>86</v>
      </c>
      <c r="AC72" s="5"/>
    </row>
    <row r="73" spans="1:29" x14ac:dyDescent="0.25">
      <c r="A73" s="5" t="s">
        <v>270</v>
      </c>
      <c r="B73" s="6" t="s">
        <v>271</v>
      </c>
      <c r="C73" s="7">
        <v>95201</v>
      </c>
      <c r="D73" s="8">
        <v>3065129528.6799998</v>
      </c>
      <c r="E73" s="8">
        <v>2561554903.1500001</v>
      </c>
      <c r="F73" s="8">
        <v>2561554903.1500001</v>
      </c>
      <c r="G73" s="8">
        <v>475358081.94999999</v>
      </c>
      <c r="H73" s="8">
        <v>3017011388.1199999</v>
      </c>
      <c r="I73" s="8">
        <v>548984848.10000002</v>
      </c>
      <c r="J73" s="8">
        <v>11937470.869999999</v>
      </c>
      <c r="K73" s="9">
        <v>-1.0327999999999999</v>
      </c>
      <c r="L73" s="9"/>
      <c r="M73" s="8">
        <v>5991646.4900000002</v>
      </c>
      <c r="N73" s="5" t="s">
        <v>120</v>
      </c>
      <c r="O73" s="5"/>
      <c r="P73" s="10">
        <f t="shared" si="26"/>
        <v>4993.2047137109903</v>
      </c>
      <c r="Q73" s="11">
        <f t="shared" si="27"/>
        <v>0.18557403605343059</v>
      </c>
      <c r="R73" s="10">
        <f t="shared" si="28"/>
        <v>32196.400549153892</v>
      </c>
      <c r="S73" s="11">
        <f t="shared" si="29"/>
        <v>0.83570853341820617</v>
      </c>
      <c r="T73" s="10">
        <f t="shared" si="30"/>
        <v>560922318.97000003</v>
      </c>
      <c r="U73" s="12">
        <f t="shared" si="31"/>
        <v>2</v>
      </c>
      <c r="V73" s="11">
        <f t="shared" si="32"/>
        <v>0.18591985472071068</v>
      </c>
      <c r="W73" s="11">
        <f t="shared" si="33"/>
        <v>0.18196313420019627</v>
      </c>
      <c r="X73" s="11">
        <f t="shared" si="34"/>
        <v>1.9547775824600494E-3</v>
      </c>
      <c r="Y73" s="12">
        <f t="shared" si="35"/>
        <v>6</v>
      </c>
      <c r="Z73" s="12">
        <f t="shared" si="36"/>
        <v>89</v>
      </c>
      <c r="AA73" s="12">
        <f t="shared" si="37"/>
        <v>92</v>
      </c>
      <c r="AB73" s="12">
        <f t="shared" si="38"/>
        <v>90</v>
      </c>
      <c r="AC73" s="5" t="s">
        <v>272</v>
      </c>
    </row>
    <row r="74" spans="1:29" x14ac:dyDescent="0.25">
      <c r="A74" s="5" t="s">
        <v>273</v>
      </c>
      <c r="B74" s="6" t="s">
        <v>274</v>
      </c>
      <c r="C74" s="7">
        <v>84737</v>
      </c>
      <c r="D74" s="8">
        <v>482017129.75</v>
      </c>
      <c r="E74" s="8">
        <v>512328963.44999999</v>
      </c>
      <c r="F74" s="8">
        <v>512328963.44999999</v>
      </c>
      <c r="G74" s="8">
        <v>139198955.09999999</v>
      </c>
      <c r="H74" s="8">
        <v>454640268.92000002</v>
      </c>
      <c r="I74" s="8">
        <v>290244483.56</v>
      </c>
      <c r="J74" s="8">
        <v>10224850.640000001</v>
      </c>
      <c r="K74" s="9">
        <v>-2.8574999999999999</v>
      </c>
      <c r="L74" s="9">
        <v>1.1999999999912021</v>
      </c>
      <c r="M74" s="8">
        <v>73008765.400000006</v>
      </c>
      <c r="N74" s="5" t="s">
        <v>120</v>
      </c>
      <c r="O74" s="5"/>
      <c r="P74" s="10">
        <f t="shared" si="26"/>
        <v>1642.7175271723095</v>
      </c>
      <c r="Q74" s="11">
        <f t="shared" si="27"/>
        <v>0.27169839113260463</v>
      </c>
      <c r="R74" s="10">
        <f t="shared" si="28"/>
        <v>5688.390310608117</v>
      </c>
      <c r="S74" s="11">
        <f t="shared" si="29"/>
        <v>1.0628853869067294</v>
      </c>
      <c r="T74" s="10">
        <f t="shared" si="30"/>
        <v>300469334.19999999</v>
      </c>
      <c r="U74" s="12">
        <f t="shared" si="31"/>
        <v>2</v>
      </c>
      <c r="V74" s="11">
        <f t="shared" si="32"/>
        <v>0.66089467814579261</v>
      </c>
      <c r="W74" s="11">
        <f t="shared" si="33"/>
        <v>0.63840469795928345</v>
      </c>
      <c r="X74" s="11">
        <f t="shared" si="34"/>
        <v>0.15146508473229214</v>
      </c>
      <c r="Y74" s="12">
        <f t="shared" si="35"/>
        <v>71</v>
      </c>
      <c r="Z74" s="12">
        <f t="shared" si="36"/>
        <v>55</v>
      </c>
      <c r="AA74" s="12">
        <f t="shared" si="37"/>
        <v>27</v>
      </c>
      <c r="AB74" s="12">
        <f t="shared" si="38"/>
        <v>3</v>
      </c>
      <c r="AC74" s="5"/>
    </row>
    <row r="75" spans="1:29" x14ac:dyDescent="0.25">
      <c r="A75" s="5" t="s">
        <v>275</v>
      </c>
      <c r="B75" s="6" t="s">
        <v>276</v>
      </c>
      <c r="C75" s="7">
        <v>22026</v>
      </c>
      <c r="D75" s="8">
        <v>335709918.74000001</v>
      </c>
      <c r="E75" s="8">
        <v>338518432.49000001</v>
      </c>
      <c r="F75" s="8">
        <v>338518432.49000001</v>
      </c>
      <c r="G75" s="8">
        <v>86721309.560000002</v>
      </c>
      <c r="H75" s="8">
        <v>319882659.97000003</v>
      </c>
      <c r="I75" s="8">
        <v>130506788.16</v>
      </c>
      <c r="J75" s="8">
        <v>4843033.96</v>
      </c>
      <c r="K75" s="9">
        <v>-0.26569999999999999</v>
      </c>
      <c r="L75" s="9">
        <v>1.1999999999874951</v>
      </c>
      <c r="M75" s="8">
        <v>2939706.13</v>
      </c>
      <c r="N75" s="5" t="s">
        <v>120</v>
      </c>
      <c r="O75" s="5"/>
      <c r="P75" s="10">
        <f t="shared" si="26"/>
        <v>3937.2246236266233</v>
      </c>
      <c r="Q75" s="11">
        <f t="shared" si="27"/>
        <v>0.2561789883112548</v>
      </c>
      <c r="R75" s="10">
        <f t="shared" si="28"/>
        <v>15241.529044765279</v>
      </c>
      <c r="S75" s="11">
        <f t="shared" si="29"/>
        <v>1.0083658944619243</v>
      </c>
      <c r="T75" s="10">
        <f t="shared" si="30"/>
        <v>135349822.12</v>
      </c>
      <c r="U75" s="12">
        <f t="shared" si="31"/>
        <v>2</v>
      </c>
      <c r="V75" s="11">
        <f t="shared" si="32"/>
        <v>0.4231233482074136</v>
      </c>
      <c r="W75" s="11">
        <f t="shared" si="33"/>
        <v>0.40798331542022154</v>
      </c>
      <c r="X75" s="11">
        <f t="shared" si="34"/>
        <v>8.7566853581014931E-3</v>
      </c>
      <c r="Y75" s="12">
        <f t="shared" si="35"/>
        <v>9</v>
      </c>
      <c r="Z75" s="12">
        <f t="shared" si="36"/>
        <v>65</v>
      </c>
      <c r="AA75" s="12">
        <f t="shared" si="37"/>
        <v>53</v>
      </c>
      <c r="AB75" s="12">
        <f t="shared" si="38"/>
        <v>68</v>
      </c>
      <c r="AC75" s="5"/>
    </row>
    <row r="76" spans="1:29" x14ac:dyDescent="0.25">
      <c r="A76" s="5" t="s">
        <v>277</v>
      </c>
      <c r="B76" s="6" t="s">
        <v>278</v>
      </c>
      <c r="C76" s="7">
        <v>15690</v>
      </c>
      <c r="D76" s="8">
        <v>135442110.74000001</v>
      </c>
      <c r="E76" s="8">
        <v>137907835.19999999</v>
      </c>
      <c r="F76" s="8">
        <v>137907835.19999999</v>
      </c>
      <c r="G76" s="8">
        <v>42438983.030000001</v>
      </c>
      <c r="H76" s="8">
        <v>113911307.03</v>
      </c>
      <c r="I76" s="8">
        <v>62145690.859999999</v>
      </c>
      <c r="J76" s="8">
        <v>2749796.51</v>
      </c>
      <c r="K76" s="9">
        <v>-9.9100000000000008E-2</v>
      </c>
      <c r="L76" s="9">
        <v>1.2</v>
      </c>
      <c r="M76" s="8">
        <v>1505813.61</v>
      </c>
      <c r="N76" s="5" t="s">
        <v>120</v>
      </c>
      <c r="O76" s="5"/>
      <c r="P76" s="10">
        <f t="shared" si="26"/>
        <v>2704.8427680050991</v>
      </c>
      <c r="Q76" s="11">
        <f t="shared" si="27"/>
        <v>0.30773438629105537</v>
      </c>
      <c r="R76" s="10">
        <f t="shared" si="28"/>
        <v>8632.3843683875093</v>
      </c>
      <c r="S76" s="11">
        <f t="shared" si="29"/>
        <v>1.0182050061574519</v>
      </c>
      <c r="T76" s="10">
        <f t="shared" si="30"/>
        <v>64895487.369999997</v>
      </c>
      <c r="U76" s="12">
        <f t="shared" si="31"/>
        <v>2</v>
      </c>
      <c r="V76" s="11">
        <f t="shared" si="32"/>
        <v>0.56970189406139404</v>
      </c>
      <c r="W76" s="11">
        <f t="shared" si="33"/>
        <v>0.54556209107172426</v>
      </c>
      <c r="X76" s="11">
        <f t="shared" si="34"/>
        <v>1.1117765381629492E-2</v>
      </c>
      <c r="Y76" s="12">
        <f t="shared" si="35"/>
        <v>34</v>
      </c>
      <c r="Z76" s="12">
        <f t="shared" si="36"/>
        <v>34</v>
      </c>
      <c r="AA76" s="12">
        <f t="shared" si="37"/>
        <v>48</v>
      </c>
      <c r="AB76" s="12">
        <f t="shared" si="38"/>
        <v>8</v>
      </c>
      <c r="AC76" s="5" t="s">
        <v>141</v>
      </c>
    </row>
    <row r="77" spans="1:29" x14ac:dyDescent="0.25">
      <c r="A77" s="5" t="s">
        <v>279</v>
      </c>
      <c r="B77" s="6" t="s">
        <v>280</v>
      </c>
      <c r="C77" s="7">
        <v>41197</v>
      </c>
      <c r="D77" s="8">
        <v>212543074.56999999</v>
      </c>
      <c r="E77" s="8">
        <v>221978319.74000001</v>
      </c>
      <c r="F77" s="8">
        <v>221978319.74000001</v>
      </c>
      <c r="G77" s="8">
        <v>59997522.560000002</v>
      </c>
      <c r="H77" s="8">
        <v>202559564.83000001</v>
      </c>
      <c r="I77" s="8">
        <v>96102123.959999993</v>
      </c>
      <c r="J77" s="8">
        <v>4709036.59</v>
      </c>
      <c r="K77" s="9">
        <v>5.5E-2</v>
      </c>
      <c r="L77" s="9">
        <v>1.2</v>
      </c>
      <c r="M77" s="8">
        <v>9391414.6600000001</v>
      </c>
      <c r="N77" s="5" t="s">
        <v>120</v>
      </c>
      <c r="O77" s="5"/>
      <c r="P77" s="10">
        <f t="shared" si="26"/>
        <v>1456.3565929557979</v>
      </c>
      <c r="Q77" s="11">
        <f t="shared" si="27"/>
        <v>0.27028550639663473</v>
      </c>
      <c r="R77" s="10">
        <f t="shared" si="28"/>
        <v>5159.1881586037816</v>
      </c>
      <c r="S77" s="11">
        <f t="shared" si="29"/>
        <v>1.0443921552799997</v>
      </c>
      <c r="T77" s="10">
        <f t="shared" si="30"/>
        <v>100811160.55</v>
      </c>
      <c r="U77" s="12">
        <f t="shared" si="31"/>
        <v>2</v>
      </c>
      <c r="V77" s="11">
        <f t="shared" si="32"/>
        <v>0.49768649846086849</v>
      </c>
      <c r="W77" s="11">
        <f t="shared" si="33"/>
        <v>0.47443883501948964</v>
      </c>
      <c r="X77" s="11">
        <f t="shared" si="34"/>
        <v>4.4185935857942928E-2</v>
      </c>
      <c r="Y77" s="12">
        <f t="shared" si="35"/>
        <v>77</v>
      </c>
      <c r="Z77" s="12">
        <f t="shared" si="36"/>
        <v>57</v>
      </c>
      <c r="AA77" s="12">
        <f t="shared" si="37"/>
        <v>35</v>
      </c>
      <c r="AB77" s="12">
        <f t="shared" si="38"/>
        <v>39</v>
      </c>
      <c r="AC77" s="5" t="s">
        <v>141</v>
      </c>
    </row>
    <row r="78" spans="1:29" x14ac:dyDescent="0.25">
      <c r="A78" s="5" t="s">
        <v>281</v>
      </c>
      <c r="B78" s="6" t="s">
        <v>282</v>
      </c>
      <c r="C78" s="7">
        <v>47368</v>
      </c>
      <c r="D78" s="8">
        <v>305229944.58999997</v>
      </c>
      <c r="E78" s="8">
        <v>297576905.42000002</v>
      </c>
      <c r="F78" s="8">
        <v>299756930.88</v>
      </c>
      <c r="G78" s="8">
        <v>54724726.18</v>
      </c>
      <c r="H78" s="8">
        <v>304159219.57999998</v>
      </c>
      <c r="I78" s="8">
        <v>161653804.96000001</v>
      </c>
      <c r="J78" s="8">
        <v>5581778.4199999999</v>
      </c>
      <c r="K78" s="9">
        <v>9.8100000000000007E-2</v>
      </c>
      <c r="L78" s="9">
        <v>1.200000000013151</v>
      </c>
      <c r="M78" s="8">
        <v>5560516.6799999997</v>
      </c>
      <c r="N78" s="5" t="s">
        <v>120</v>
      </c>
      <c r="O78" s="5"/>
      <c r="P78" s="10">
        <f t="shared" si="26"/>
        <v>1155.3100443337273</v>
      </c>
      <c r="Q78" s="11">
        <f t="shared" si="27"/>
        <v>0.18256367257078585</v>
      </c>
      <c r="R78" s="10">
        <f t="shared" si="28"/>
        <v>6443.8005529049142</v>
      </c>
      <c r="S78" s="11">
        <f t="shared" si="29"/>
        <v>0.9749269712698736</v>
      </c>
      <c r="T78" s="10">
        <f t="shared" si="30"/>
        <v>167235583.38</v>
      </c>
      <c r="U78" s="12">
        <f t="shared" si="31"/>
        <v>2</v>
      </c>
      <c r="V78" s="11">
        <f t="shared" si="32"/>
        <v>0.54982907837194028</v>
      </c>
      <c r="W78" s="11">
        <f t="shared" si="33"/>
        <v>0.53147757672189122</v>
      </c>
      <c r="X78" s="11">
        <f t="shared" si="34"/>
        <v>1.8217467776528815E-2</v>
      </c>
      <c r="Y78" s="12">
        <f t="shared" si="35"/>
        <v>83</v>
      </c>
      <c r="Z78" s="12">
        <f t="shared" si="36"/>
        <v>90</v>
      </c>
      <c r="AA78" s="12">
        <f t="shared" si="37"/>
        <v>73</v>
      </c>
      <c r="AB78" s="12">
        <f t="shared" si="38"/>
        <v>15</v>
      </c>
      <c r="AC78" s="5"/>
    </row>
    <row r="79" spans="1:29" x14ac:dyDescent="0.25">
      <c r="A79" s="5" t="s">
        <v>283</v>
      </c>
      <c r="B79" s="6" t="s">
        <v>284</v>
      </c>
      <c r="C79" s="7">
        <v>960652</v>
      </c>
      <c r="D79" s="8">
        <v>2528799535.6999998</v>
      </c>
      <c r="E79" s="8">
        <v>2657855734.3299999</v>
      </c>
      <c r="F79" s="8">
        <v>2684362556.23</v>
      </c>
      <c r="G79" s="8">
        <v>1022744461.14</v>
      </c>
      <c r="H79" s="8">
        <v>2418580947.4400001</v>
      </c>
      <c r="I79" s="8">
        <v>968595027.27999997</v>
      </c>
      <c r="J79" s="8">
        <v>27041543.170000002</v>
      </c>
      <c r="K79" s="9">
        <v>0.1641</v>
      </c>
      <c r="L79" s="9">
        <v>1.200000000000814</v>
      </c>
      <c r="M79" s="8">
        <v>50834909.780000001</v>
      </c>
      <c r="N79" s="5" t="s">
        <v>120</v>
      </c>
      <c r="O79" s="5"/>
      <c r="P79" s="10">
        <f t="shared" si="26"/>
        <v>1064.6357485749261</v>
      </c>
      <c r="Q79" s="11">
        <f t="shared" si="27"/>
        <v>0.38100086695307406</v>
      </c>
      <c r="R79" s="10">
        <f t="shared" si="28"/>
        <v>2632.378359385084</v>
      </c>
      <c r="S79" s="11">
        <f t="shared" si="29"/>
        <v>1.0510345706759536</v>
      </c>
      <c r="T79" s="10">
        <f t="shared" si="30"/>
        <v>995636570.44999993</v>
      </c>
      <c r="U79" s="12">
        <f t="shared" si="31"/>
        <v>2</v>
      </c>
      <c r="V79" s="11">
        <f t="shared" si="32"/>
        <v>0.4116614626869749</v>
      </c>
      <c r="W79" s="11">
        <f t="shared" si="33"/>
        <v>0.40048071506774691</v>
      </c>
      <c r="X79" s="11">
        <f t="shared" si="34"/>
        <v>2.0102388134110572E-2</v>
      </c>
      <c r="Y79" s="12">
        <f t="shared" si="35"/>
        <v>88</v>
      </c>
      <c r="Z79" s="12">
        <f t="shared" si="36"/>
        <v>4</v>
      </c>
      <c r="AA79" s="12">
        <f t="shared" si="37"/>
        <v>30</v>
      </c>
      <c r="AB79" s="12">
        <f t="shared" si="38"/>
        <v>71</v>
      </c>
      <c r="AC79" s="5"/>
    </row>
    <row r="80" spans="1:29" x14ac:dyDescent="0.25">
      <c r="A80" s="5" t="s">
        <v>285</v>
      </c>
      <c r="B80" s="6" t="s">
        <v>286</v>
      </c>
      <c r="C80" s="7">
        <v>7315</v>
      </c>
      <c r="D80" s="8">
        <v>89302690.709999993</v>
      </c>
      <c r="E80" s="8">
        <v>82651026.480000004</v>
      </c>
      <c r="F80" s="8">
        <v>82651026.480000004</v>
      </c>
      <c r="G80" s="8">
        <v>26077831.469999999</v>
      </c>
      <c r="H80" s="8">
        <v>75726890.569999993</v>
      </c>
      <c r="I80" s="8">
        <v>37829752.460000001</v>
      </c>
      <c r="J80" s="8">
        <v>2069982.27</v>
      </c>
      <c r="K80" s="9">
        <v>-7.5199999999999989E-2</v>
      </c>
      <c r="L80" s="9">
        <v>1.1999999999471791</v>
      </c>
      <c r="M80" s="8">
        <v>574924.65</v>
      </c>
      <c r="N80" s="5" t="s">
        <v>120</v>
      </c>
      <c r="O80" s="5"/>
      <c r="P80" s="10">
        <f t="shared" si="26"/>
        <v>3564.9803786739576</v>
      </c>
      <c r="Q80" s="11">
        <f t="shared" si="27"/>
        <v>0.31551733330632431</v>
      </c>
      <c r="R80" s="10">
        <f t="shared" si="28"/>
        <v>12208.160042378673</v>
      </c>
      <c r="S80" s="11">
        <f t="shared" si="29"/>
        <v>0.92551552280098159</v>
      </c>
      <c r="T80" s="10">
        <f t="shared" si="30"/>
        <v>39899734.730000004</v>
      </c>
      <c r="U80" s="12">
        <f t="shared" si="31"/>
        <v>2</v>
      </c>
      <c r="V80" s="11">
        <f t="shared" si="32"/>
        <v>0.52688991228443105</v>
      </c>
      <c r="W80" s="11">
        <f t="shared" si="33"/>
        <v>0.49955507449538217</v>
      </c>
      <c r="X80" s="11">
        <f t="shared" si="34"/>
        <v>6.4379319976707126E-3</v>
      </c>
      <c r="Y80" s="12">
        <f t="shared" si="35"/>
        <v>17</v>
      </c>
      <c r="Z80" s="12">
        <f t="shared" si="36"/>
        <v>28</v>
      </c>
      <c r="AA80" s="12">
        <f t="shared" si="37"/>
        <v>83</v>
      </c>
      <c r="AB80" s="12">
        <f t="shared" si="38"/>
        <v>22</v>
      </c>
      <c r="AC80" s="5"/>
    </row>
    <row r="81" spans="1:29" x14ac:dyDescent="0.25">
      <c r="A81" s="5" t="s">
        <v>287</v>
      </c>
      <c r="B81" s="6" t="s">
        <v>288</v>
      </c>
      <c r="C81" s="7">
        <v>22799</v>
      </c>
      <c r="D81" s="8">
        <v>140895191.94</v>
      </c>
      <c r="E81" s="8">
        <v>138193104.30000001</v>
      </c>
      <c r="F81" s="8">
        <v>138193104.30000001</v>
      </c>
      <c r="G81" s="8">
        <v>46699571.380000003</v>
      </c>
      <c r="H81" s="8">
        <v>138824307.94</v>
      </c>
      <c r="I81" s="8">
        <v>64527657.880000003</v>
      </c>
      <c r="J81" s="8">
        <v>3447428.12</v>
      </c>
      <c r="K81" s="9">
        <v>-0.1076</v>
      </c>
      <c r="L81" s="9">
        <v>1.2000000000142661</v>
      </c>
      <c r="M81" s="8">
        <v>723315.86</v>
      </c>
      <c r="N81" s="5" t="s">
        <v>120</v>
      </c>
      <c r="O81" s="5"/>
      <c r="P81" s="10">
        <f t="shared" si="26"/>
        <v>2048.3166533619897</v>
      </c>
      <c r="Q81" s="11">
        <f t="shared" si="27"/>
        <v>0.33792982375315234</v>
      </c>
      <c r="R81" s="10">
        <f t="shared" si="28"/>
        <v>6179.8847291547872</v>
      </c>
      <c r="S81" s="11">
        <f t="shared" si="29"/>
        <v>0.98082200249139329</v>
      </c>
      <c r="T81" s="10">
        <f t="shared" si="30"/>
        <v>67975086</v>
      </c>
      <c r="U81" s="12">
        <f t="shared" si="31"/>
        <v>2</v>
      </c>
      <c r="V81" s="11">
        <f t="shared" si="32"/>
        <v>0.4896482972519402</v>
      </c>
      <c r="W81" s="11">
        <f t="shared" si="33"/>
        <v>0.46481526785560434</v>
      </c>
      <c r="X81" s="11">
        <f t="shared" si="34"/>
        <v>5.1337157076873346E-3</v>
      </c>
      <c r="Y81" s="12">
        <f t="shared" si="35"/>
        <v>58</v>
      </c>
      <c r="Z81" s="12">
        <f t="shared" si="36"/>
        <v>19</v>
      </c>
      <c r="AA81" s="12">
        <f t="shared" si="37"/>
        <v>72</v>
      </c>
      <c r="AB81" s="12">
        <f t="shared" si="38"/>
        <v>43</v>
      </c>
      <c r="AC81" s="5"/>
    </row>
    <row r="82" spans="1:29" x14ac:dyDescent="0.25">
      <c r="A82" s="5" t="s">
        <v>289</v>
      </c>
      <c r="B82" s="6" t="s">
        <v>290</v>
      </c>
      <c r="C82" s="7">
        <v>38708</v>
      </c>
      <c r="D82" s="8">
        <v>921638717.92999995</v>
      </c>
      <c r="E82" s="8">
        <v>990055608.12</v>
      </c>
      <c r="F82" s="8">
        <v>990055608.12</v>
      </c>
      <c r="G82" s="8">
        <v>250239356.00999999</v>
      </c>
      <c r="H82" s="8">
        <v>870226092.10000002</v>
      </c>
      <c r="I82" s="8">
        <v>379998007.51999998</v>
      </c>
      <c r="J82" s="8">
        <v>9448549.5899999999</v>
      </c>
      <c r="K82" s="9">
        <v>-0.33710000000000001</v>
      </c>
      <c r="L82" s="9">
        <v>1.1999999999954649</v>
      </c>
      <c r="M82" s="8">
        <v>16656627.050000001</v>
      </c>
      <c r="N82" s="5" t="s">
        <v>120</v>
      </c>
      <c r="O82" s="5"/>
      <c r="P82" s="10">
        <f t="shared" si="26"/>
        <v>6464.7968381213186</v>
      </c>
      <c r="Q82" s="11">
        <f t="shared" si="27"/>
        <v>0.2527528291922666</v>
      </c>
      <c r="R82" s="10">
        <f t="shared" si="28"/>
        <v>23810.031981244185</v>
      </c>
      <c r="S82" s="11">
        <f t="shared" si="29"/>
        <v>1.074233958338539</v>
      </c>
      <c r="T82" s="10">
        <f t="shared" si="30"/>
        <v>389446557.10999995</v>
      </c>
      <c r="U82" s="12">
        <f t="shared" si="31"/>
        <v>2</v>
      </c>
      <c r="V82" s="11">
        <f t="shared" si="32"/>
        <v>0.44752342023002406</v>
      </c>
      <c r="W82" s="11">
        <f t="shared" si="33"/>
        <v>0.43666584002670122</v>
      </c>
      <c r="X82" s="11">
        <f t="shared" si="34"/>
        <v>1.8072837789856286E-2</v>
      </c>
      <c r="Y82" s="12">
        <f t="shared" si="35"/>
        <v>1</v>
      </c>
      <c r="Z82" s="12">
        <f t="shared" si="36"/>
        <v>68</v>
      </c>
      <c r="AA82" s="12">
        <f t="shared" si="37"/>
        <v>24</v>
      </c>
      <c r="AB82" s="12">
        <f t="shared" si="38"/>
        <v>57</v>
      </c>
      <c r="AC82" s="5"/>
    </row>
    <row r="83" spans="1:29" x14ac:dyDescent="0.25">
      <c r="A83" s="5" t="s">
        <v>291</v>
      </c>
      <c r="B83" s="6" t="s">
        <v>292</v>
      </c>
      <c r="C83" s="7">
        <v>466536</v>
      </c>
      <c r="D83" s="8">
        <v>1239054405.1800001</v>
      </c>
      <c r="E83" s="8">
        <v>1229599134.9100001</v>
      </c>
      <c r="F83" s="8">
        <v>1229599134.73</v>
      </c>
      <c r="G83" s="8">
        <v>419830419.55000001</v>
      </c>
      <c r="H83" s="8">
        <v>1080728807.3</v>
      </c>
      <c r="I83" s="8">
        <v>586104425.76999998</v>
      </c>
      <c r="J83" s="8">
        <v>17560974</v>
      </c>
      <c r="K83" s="9">
        <v>0.43409999999999999</v>
      </c>
      <c r="L83" s="9">
        <v>1.2</v>
      </c>
      <c r="M83" s="8">
        <v>212777232.97</v>
      </c>
      <c r="N83" s="5" t="s">
        <v>120</v>
      </c>
      <c r="O83" s="5"/>
      <c r="P83" s="10">
        <f t="shared" si="26"/>
        <v>899.88858212442346</v>
      </c>
      <c r="Q83" s="11">
        <f t="shared" si="27"/>
        <v>0.34143682090520333</v>
      </c>
      <c r="R83" s="10">
        <f t="shared" si="28"/>
        <v>2655.8602233911211</v>
      </c>
      <c r="S83" s="11">
        <f t="shared" si="29"/>
        <v>0.99236896279092246</v>
      </c>
      <c r="T83" s="10">
        <f t="shared" si="30"/>
        <v>603665399.76999998</v>
      </c>
      <c r="U83" s="12">
        <f t="shared" si="31"/>
        <v>2</v>
      </c>
      <c r="V83" s="11">
        <f t="shared" si="32"/>
        <v>0.55857250745276776</v>
      </c>
      <c r="W83" s="11">
        <f t="shared" si="33"/>
        <v>0.54232331164954595</v>
      </c>
      <c r="X83" s="11">
        <f t="shared" si="34"/>
        <v>0.17172549654031488</v>
      </c>
      <c r="Y83" s="12">
        <f t="shared" si="35"/>
        <v>92</v>
      </c>
      <c r="Z83" s="12">
        <f t="shared" si="36"/>
        <v>14</v>
      </c>
      <c r="AA83" s="12">
        <f t="shared" si="37"/>
        <v>65</v>
      </c>
      <c r="AB83" s="12">
        <f t="shared" si="38"/>
        <v>11</v>
      </c>
      <c r="AC83" s="5"/>
    </row>
    <row r="84" spans="1:29" x14ac:dyDescent="0.25">
      <c r="A84" s="5" t="s">
        <v>293</v>
      </c>
      <c r="B84" s="6" t="s">
        <v>294</v>
      </c>
      <c r="C84" s="7">
        <v>110556</v>
      </c>
      <c r="D84" s="8">
        <v>485551841.33999997</v>
      </c>
      <c r="E84" s="8">
        <v>465413794.26999998</v>
      </c>
      <c r="F84" s="8">
        <v>465413794.26999998</v>
      </c>
      <c r="G84" s="8">
        <v>104941064.88</v>
      </c>
      <c r="H84" s="8">
        <v>447479669.31</v>
      </c>
      <c r="I84" s="8">
        <v>214105122.00999999</v>
      </c>
      <c r="J84" s="8">
        <v>8646183.1899999995</v>
      </c>
      <c r="K84" s="9">
        <v>0.1022</v>
      </c>
      <c r="L84" s="9">
        <v>1.199999999995546</v>
      </c>
      <c r="M84" s="8">
        <v>9080583.2599999998</v>
      </c>
      <c r="N84" s="5" t="s">
        <v>120</v>
      </c>
      <c r="O84" s="5"/>
      <c r="P84" s="10">
        <f t="shared" si="26"/>
        <v>949.21184630413541</v>
      </c>
      <c r="Q84" s="11">
        <f t="shared" si="27"/>
        <v>0.22547906007942828</v>
      </c>
      <c r="R84" s="10">
        <f t="shared" si="28"/>
        <v>4391.908547161619</v>
      </c>
      <c r="S84" s="11">
        <f t="shared" si="29"/>
        <v>0.95852544392700867</v>
      </c>
      <c r="T84" s="10">
        <f t="shared" si="30"/>
        <v>222751305.19999999</v>
      </c>
      <c r="U84" s="12">
        <f t="shared" si="31"/>
        <v>2</v>
      </c>
      <c r="V84" s="11">
        <f t="shared" si="32"/>
        <v>0.49779089526788045</v>
      </c>
      <c r="W84" s="11">
        <f t="shared" si="33"/>
        <v>0.47846893768412663</v>
      </c>
      <c r="X84" s="11">
        <f t="shared" si="34"/>
        <v>1.8701573110998595E-2</v>
      </c>
      <c r="Y84" s="12">
        <f t="shared" si="35"/>
        <v>91</v>
      </c>
      <c r="Z84" s="12">
        <f t="shared" si="36"/>
        <v>83</v>
      </c>
      <c r="AA84" s="12">
        <f t="shared" si="37"/>
        <v>77</v>
      </c>
      <c r="AB84" s="12">
        <f t="shared" si="38"/>
        <v>38</v>
      </c>
      <c r="AC84" s="5"/>
    </row>
    <row r="85" spans="1:29" x14ac:dyDescent="0.25">
      <c r="A85" s="5" t="s">
        <v>295</v>
      </c>
      <c r="B85" s="6" t="s">
        <v>296</v>
      </c>
      <c r="C85" s="7">
        <v>7999</v>
      </c>
      <c r="D85" s="8">
        <v>92942878.980000004</v>
      </c>
      <c r="E85" s="8">
        <v>96537986.370000005</v>
      </c>
      <c r="F85" s="8">
        <v>97157964.290000007</v>
      </c>
      <c r="G85" s="8">
        <v>24412114.149999999</v>
      </c>
      <c r="H85" s="8">
        <v>88923796.680000007</v>
      </c>
      <c r="I85" s="8">
        <v>53921637.920000002</v>
      </c>
      <c r="J85" s="8">
        <v>2845036.29</v>
      </c>
      <c r="K85" s="9">
        <v>8.9200000000000002E-2</v>
      </c>
      <c r="L85" s="9">
        <v>1.200000000044982</v>
      </c>
      <c r="M85" s="8">
        <v>1315217.0900000001</v>
      </c>
      <c r="N85" s="5" t="s">
        <v>120</v>
      </c>
      <c r="O85" s="5"/>
      <c r="P85" s="10">
        <f t="shared" si="26"/>
        <v>3051.8957557194649</v>
      </c>
      <c r="Q85" s="11">
        <f t="shared" si="27"/>
        <v>0.25126210011084615</v>
      </c>
      <c r="R85" s="10">
        <f t="shared" si="28"/>
        <v>11619.312286535818</v>
      </c>
      <c r="S85" s="11">
        <f t="shared" si="29"/>
        <v>1.0386808266480922</v>
      </c>
      <c r="T85" s="10">
        <f t="shared" si="30"/>
        <v>56766674.210000001</v>
      </c>
      <c r="U85" s="12">
        <f t="shared" si="31"/>
        <v>2</v>
      </c>
      <c r="V85" s="11">
        <f t="shared" si="32"/>
        <v>0.63837438716522421</v>
      </c>
      <c r="W85" s="11">
        <f t="shared" si="33"/>
        <v>0.60638029338807575</v>
      </c>
      <c r="X85" s="11">
        <f t="shared" si="34"/>
        <v>1.4150810739174716E-2</v>
      </c>
      <c r="Y85" s="12">
        <f t="shared" si="35"/>
        <v>28</v>
      </c>
      <c r="Z85" s="12">
        <f t="shared" si="36"/>
        <v>70</v>
      </c>
      <c r="AA85" s="12">
        <f t="shared" si="37"/>
        <v>38</v>
      </c>
      <c r="AB85" s="12">
        <f t="shared" si="38"/>
        <v>5</v>
      </c>
      <c r="AC85" s="5"/>
    </row>
    <row r="86" spans="1:29" x14ac:dyDescent="0.25">
      <c r="A86" s="5" t="s">
        <v>297</v>
      </c>
      <c r="B86" s="6" t="s">
        <v>298</v>
      </c>
      <c r="C86" s="7">
        <v>32858</v>
      </c>
      <c r="D86" s="8">
        <v>206121266.06</v>
      </c>
      <c r="E86" s="8">
        <v>207002938.56</v>
      </c>
      <c r="F86" s="8">
        <v>207002938.56</v>
      </c>
      <c r="G86" s="8">
        <v>69222377.170000002</v>
      </c>
      <c r="H86" s="8">
        <v>188014130.31</v>
      </c>
      <c r="I86" s="8">
        <v>79961073.959999993</v>
      </c>
      <c r="J86" s="8">
        <v>3684096.71</v>
      </c>
      <c r="K86" s="9">
        <v>-0.12889999999999999</v>
      </c>
      <c r="L86" s="9">
        <v>1.1999999999895821</v>
      </c>
      <c r="M86" s="8">
        <v>3827923.78</v>
      </c>
      <c r="N86" s="5" t="s">
        <v>156</v>
      </c>
      <c r="O86" s="5"/>
      <c r="P86" s="10">
        <f t="shared" si="26"/>
        <v>2106.7130430945281</v>
      </c>
      <c r="Q86" s="11">
        <f t="shared" si="27"/>
        <v>0.3344028720149585</v>
      </c>
      <c r="R86" s="10">
        <f t="shared" si="28"/>
        <v>6273.0922776797124</v>
      </c>
      <c r="S86" s="11">
        <f t="shared" si="29"/>
        <v>1.0042774455875085</v>
      </c>
      <c r="T86" s="10">
        <f t="shared" si="30"/>
        <v>83645170.669999987</v>
      </c>
      <c r="U86" s="12">
        <f t="shared" si="31"/>
        <v>2</v>
      </c>
      <c r="V86" s="11">
        <f t="shared" si="32"/>
        <v>0.44488768228262848</v>
      </c>
      <c r="W86" s="11">
        <f t="shared" si="33"/>
        <v>0.42529289595499653</v>
      </c>
      <c r="X86" s="11">
        <f t="shared" si="34"/>
        <v>1.8571221947015049E-2</v>
      </c>
      <c r="Y86" s="12">
        <f t="shared" si="35"/>
        <v>56</v>
      </c>
      <c r="Z86" s="12">
        <f t="shared" si="36"/>
        <v>20</v>
      </c>
      <c r="AA86" s="12">
        <f t="shared" si="37"/>
        <v>57</v>
      </c>
      <c r="AB86" s="12">
        <f t="shared" si="38"/>
        <v>59</v>
      </c>
      <c r="AC86" s="5" t="s">
        <v>157</v>
      </c>
    </row>
    <row r="87" spans="1:29" x14ac:dyDescent="0.25">
      <c r="A87" s="5" t="s">
        <v>299</v>
      </c>
      <c r="B87" s="6" t="s">
        <v>300</v>
      </c>
      <c r="C87" s="7">
        <v>176692</v>
      </c>
      <c r="D87" s="8">
        <v>869909218.17999995</v>
      </c>
      <c r="E87" s="8">
        <v>876571194.95000005</v>
      </c>
      <c r="F87" s="8">
        <v>876571194.95000005</v>
      </c>
      <c r="G87" s="8">
        <v>214950613.84</v>
      </c>
      <c r="H87" s="8">
        <v>842913742.32000005</v>
      </c>
      <c r="I87" s="8">
        <v>420390717.13</v>
      </c>
      <c r="J87" s="8">
        <v>22007214.010000002</v>
      </c>
      <c r="K87" s="9">
        <v>-0.1195</v>
      </c>
      <c r="L87" s="9">
        <v>1.199999999995254</v>
      </c>
      <c r="M87" s="8">
        <v>66421829.259999998</v>
      </c>
      <c r="N87" s="5" t="s">
        <v>120</v>
      </c>
      <c r="O87" s="5"/>
      <c r="P87" s="10">
        <f t="shared" si="26"/>
        <v>1216.5271423720371</v>
      </c>
      <c r="Q87" s="11">
        <f t="shared" si="27"/>
        <v>0.24521751921389667</v>
      </c>
      <c r="R87" s="10">
        <f t="shared" si="28"/>
        <v>4923.3084586738505</v>
      </c>
      <c r="S87" s="11">
        <f t="shared" si="29"/>
        <v>1.0076582436773553</v>
      </c>
      <c r="T87" s="10">
        <f t="shared" si="30"/>
        <v>442397931.13999999</v>
      </c>
      <c r="U87" s="12">
        <f t="shared" si="31"/>
        <v>2</v>
      </c>
      <c r="V87" s="11">
        <f t="shared" si="32"/>
        <v>0.52484365710109637</v>
      </c>
      <c r="W87" s="11">
        <f t="shared" si="33"/>
        <v>0.49873515642648608</v>
      </c>
      <c r="X87" s="11">
        <f t="shared" si="34"/>
        <v>7.6354897582262563E-2</v>
      </c>
      <c r="Y87" s="12">
        <f t="shared" si="35"/>
        <v>82</v>
      </c>
      <c r="Z87" s="12">
        <f t="shared" si="36"/>
        <v>73</v>
      </c>
      <c r="AA87" s="12">
        <f t="shared" si="37"/>
        <v>55</v>
      </c>
      <c r="AB87" s="12">
        <f t="shared" si="38"/>
        <v>25</v>
      </c>
      <c r="AC87" s="5"/>
    </row>
    <row r="88" spans="1:29" x14ac:dyDescent="0.25">
      <c r="A88" s="5" t="s">
        <v>301</v>
      </c>
      <c r="B88" s="6" t="s">
        <v>302</v>
      </c>
      <c r="C88" s="7">
        <v>10652</v>
      </c>
      <c r="D88" s="8">
        <v>110704578.70999999</v>
      </c>
      <c r="E88" s="8">
        <v>111058550.97</v>
      </c>
      <c r="F88" s="8">
        <v>111058550.97</v>
      </c>
      <c r="G88" s="8">
        <v>22276511.809999999</v>
      </c>
      <c r="H88" s="8">
        <v>97896192.310000002</v>
      </c>
      <c r="I88" s="8">
        <v>51564156.369999997</v>
      </c>
      <c r="J88" s="8">
        <v>3037461.12</v>
      </c>
      <c r="K88" s="9">
        <v>0.37590000000000001</v>
      </c>
      <c r="L88" s="9">
        <v>1.2</v>
      </c>
      <c r="M88" s="8">
        <v>6842.26</v>
      </c>
      <c r="N88" s="5" t="s">
        <v>120</v>
      </c>
      <c r="O88" s="5"/>
      <c r="P88" s="10">
        <f t="shared" si="26"/>
        <v>2091.2985176492675</v>
      </c>
      <c r="Q88" s="11">
        <f t="shared" si="27"/>
        <v>0.20058349055911512</v>
      </c>
      <c r="R88" s="10">
        <f t="shared" si="28"/>
        <v>10392.844415133308</v>
      </c>
      <c r="S88" s="11">
        <f t="shared" si="29"/>
        <v>1.0031974491400872</v>
      </c>
      <c r="T88" s="10">
        <f t="shared" si="30"/>
        <v>54601617.489999995</v>
      </c>
      <c r="U88" s="12">
        <f t="shared" si="31"/>
        <v>2</v>
      </c>
      <c r="V88" s="11">
        <f t="shared" si="32"/>
        <v>0.55775016577863867</v>
      </c>
      <c r="W88" s="11">
        <f t="shared" si="33"/>
        <v>0.52672279843853298</v>
      </c>
      <c r="X88" s="11">
        <f t="shared" si="34"/>
        <v>6.1806477019562845E-5</v>
      </c>
      <c r="Y88" s="12">
        <f t="shared" si="35"/>
        <v>57</v>
      </c>
      <c r="Z88" s="12">
        <f t="shared" si="36"/>
        <v>87</v>
      </c>
      <c r="AA88" s="12">
        <f t="shared" si="37"/>
        <v>58</v>
      </c>
      <c r="AB88" s="12">
        <f t="shared" si="38"/>
        <v>12</v>
      </c>
      <c r="AC88" s="5" t="s">
        <v>141</v>
      </c>
    </row>
    <row r="89" spans="1:29" x14ac:dyDescent="0.25">
      <c r="A89" s="5" t="s">
        <v>303</v>
      </c>
      <c r="B89" s="6" t="s">
        <v>304</v>
      </c>
      <c r="C89" s="7">
        <v>82300</v>
      </c>
      <c r="D89" s="8">
        <v>562590682.96000004</v>
      </c>
      <c r="E89" s="8">
        <v>563044977.39999998</v>
      </c>
      <c r="F89" s="8">
        <v>563044977.39999998</v>
      </c>
      <c r="G89" s="8">
        <v>163996675.19</v>
      </c>
      <c r="H89" s="8">
        <v>506819674.26999998</v>
      </c>
      <c r="I89" s="8">
        <v>247332715.05000001</v>
      </c>
      <c r="J89" s="8">
        <v>12803112.119999999</v>
      </c>
      <c r="K89" s="9">
        <v>7.1800000000000003E-2</v>
      </c>
      <c r="L89" s="9">
        <v>1.1999999999925051</v>
      </c>
      <c r="M89" s="8">
        <v>15210898.859999999</v>
      </c>
      <c r="N89" s="5" t="s">
        <v>120</v>
      </c>
      <c r="O89" s="5"/>
      <c r="P89" s="10">
        <f t="shared" si="26"/>
        <v>1992.6692003645201</v>
      </c>
      <c r="Q89" s="11">
        <f t="shared" si="27"/>
        <v>0.2912674506880345</v>
      </c>
      <c r="R89" s="10">
        <f t="shared" si="28"/>
        <v>6835.8527698663429</v>
      </c>
      <c r="S89" s="11">
        <f t="shared" si="29"/>
        <v>1.0008075043788669</v>
      </c>
      <c r="T89" s="10">
        <f t="shared" si="30"/>
        <v>260135827.17000002</v>
      </c>
      <c r="U89" s="12">
        <f t="shared" si="31"/>
        <v>2</v>
      </c>
      <c r="V89" s="11">
        <f t="shared" si="32"/>
        <v>0.51327097264858124</v>
      </c>
      <c r="W89" s="11">
        <f t="shared" si="33"/>
        <v>0.4880093011508419</v>
      </c>
      <c r="X89" s="11">
        <f t="shared" si="34"/>
        <v>2.7037239187769287E-2</v>
      </c>
      <c r="Y89" s="12">
        <f t="shared" si="35"/>
        <v>59</v>
      </c>
      <c r="Z89" s="12">
        <f t="shared" si="36"/>
        <v>46</v>
      </c>
      <c r="AA89" s="12">
        <f t="shared" si="37"/>
        <v>59</v>
      </c>
      <c r="AB89" s="12">
        <f t="shared" si="38"/>
        <v>30</v>
      </c>
      <c r="AC89" s="5"/>
    </row>
    <row r="90" spans="1:29" x14ac:dyDescent="0.25">
      <c r="A90" s="5" t="s">
        <v>305</v>
      </c>
      <c r="B90" s="6" t="s">
        <v>306</v>
      </c>
      <c r="C90" s="7">
        <v>71462</v>
      </c>
      <c r="D90" s="8">
        <v>391625945.24000001</v>
      </c>
      <c r="E90" s="8">
        <v>396720175.87</v>
      </c>
      <c r="F90" s="8">
        <v>396720175.87</v>
      </c>
      <c r="G90" s="8">
        <v>118865099.20999999</v>
      </c>
      <c r="H90" s="8">
        <v>347942528.83999997</v>
      </c>
      <c r="I90" s="8">
        <v>179757424.22</v>
      </c>
      <c r="J90" s="8">
        <v>5786327.6600000001</v>
      </c>
      <c r="K90" s="9">
        <v>-0.17449999999999999</v>
      </c>
      <c r="L90" s="9">
        <v>1.200000000005619</v>
      </c>
      <c r="M90" s="8">
        <v>15582049.779999999</v>
      </c>
      <c r="N90" s="5" t="s">
        <v>120</v>
      </c>
      <c r="O90" s="5"/>
      <c r="P90" s="10">
        <f t="shared" si="26"/>
        <v>1663.3329491198119</v>
      </c>
      <c r="Q90" s="11">
        <f t="shared" si="27"/>
        <v>0.29961949615829603</v>
      </c>
      <c r="R90" s="10">
        <f t="shared" si="28"/>
        <v>5480.1985004617836</v>
      </c>
      <c r="S90" s="11">
        <f t="shared" si="29"/>
        <v>1.0130078987153879</v>
      </c>
      <c r="T90" s="10">
        <f t="shared" si="30"/>
        <v>185543751.88</v>
      </c>
      <c r="U90" s="12">
        <f t="shared" si="31"/>
        <v>2</v>
      </c>
      <c r="V90" s="11">
        <f t="shared" si="32"/>
        <v>0.53325976706147804</v>
      </c>
      <c r="W90" s="11">
        <f t="shared" si="33"/>
        <v>0.51662964231274167</v>
      </c>
      <c r="X90" s="11">
        <f t="shared" si="34"/>
        <v>3.9788093637286609E-2</v>
      </c>
      <c r="Y90" s="12">
        <f t="shared" si="35"/>
        <v>70</v>
      </c>
      <c r="Z90" s="12">
        <f t="shared" si="36"/>
        <v>43</v>
      </c>
      <c r="AA90" s="12">
        <f t="shared" si="37"/>
        <v>51</v>
      </c>
      <c r="AB90" s="12">
        <f t="shared" si="38"/>
        <v>20</v>
      </c>
      <c r="AC90" s="5"/>
    </row>
    <row r="91" spans="1:29" x14ac:dyDescent="0.25">
      <c r="A91" s="5" t="s">
        <v>307</v>
      </c>
      <c r="B91" s="6" t="s">
        <v>308</v>
      </c>
      <c r="C91" s="7">
        <v>10559</v>
      </c>
      <c r="D91" s="8">
        <v>100526242.94</v>
      </c>
      <c r="E91" s="8">
        <v>96376199.849999994</v>
      </c>
      <c r="F91" s="8">
        <v>96376199.849999994</v>
      </c>
      <c r="G91" s="8">
        <v>25294036.649999999</v>
      </c>
      <c r="H91" s="8">
        <v>88110938.980000004</v>
      </c>
      <c r="I91" s="8">
        <v>42391786.740000002</v>
      </c>
      <c r="J91" s="8">
        <v>2694039.15</v>
      </c>
      <c r="K91" s="9">
        <v>-6.6900000000000001E-2</v>
      </c>
      <c r="L91" s="9">
        <v>1.200000000045397</v>
      </c>
      <c r="M91" s="8">
        <v>2548288.85</v>
      </c>
      <c r="N91" s="5" t="s">
        <v>120</v>
      </c>
      <c r="O91" s="5"/>
      <c r="P91" s="10">
        <f t="shared" si="26"/>
        <v>2395.4954683208634</v>
      </c>
      <c r="Q91" s="11">
        <f t="shared" si="27"/>
        <v>0.26245106872202534</v>
      </c>
      <c r="R91" s="10">
        <f t="shared" si="28"/>
        <v>9520.4321375130221</v>
      </c>
      <c r="S91" s="11">
        <f t="shared" si="29"/>
        <v>0.95871681892581029</v>
      </c>
      <c r="T91" s="10">
        <f t="shared" si="30"/>
        <v>45085825.890000001</v>
      </c>
      <c r="U91" s="12">
        <f t="shared" si="31"/>
        <v>2</v>
      </c>
      <c r="V91" s="11">
        <f t="shared" si="32"/>
        <v>0.5116938533617702</v>
      </c>
      <c r="W91" s="11">
        <f t="shared" si="33"/>
        <v>0.48111831777916209</v>
      </c>
      <c r="X91" s="11">
        <f t="shared" si="34"/>
        <v>2.5349488605885425E-2</v>
      </c>
      <c r="Y91" s="12">
        <f t="shared" si="35"/>
        <v>45</v>
      </c>
      <c r="Z91" s="12">
        <f t="shared" si="36"/>
        <v>60</v>
      </c>
      <c r="AA91" s="12">
        <f t="shared" si="37"/>
        <v>76</v>
      </c>
      <c r="AB91" s="12">
        <f t="shared" si="38"/>
        <v>31</v>
      </c>
      <c r="AC91" s="5"/>
    </row>
    <row r="92" spans="1:29" x14ac:dyDescent="0.25">
      <c r="A92" s="5" t="s">
        <v>309</v>
      </c>
      <c r="B92" s="6" t="s">
        <v>310</v>
      </c>
      <c r="C92" s="7">
        <v>35904</v>
      </c>
      <c r="D92" s="8">
        <v>298655340.44</v>
      </c>
      <c r="E92" s="8">
        <v>310342646.94999999</v>
      </c>
      <c r="F92" s="8">
        <v>310342646.94999999</v>
      </c>
      <c r="G92" s="8">
        <v>138622234.09</v>
      </c>
      <c r="H92" s="8">
        <v>250461680.33000001</v>
      </c>
      <c r="I92" s="8">
        <v>122977631.87</v>
      </c>
      <c r="J92" s="8">
        <v>5139194.1500000004</v>
      </c>
      <c r="K92" s="9">
        <v>0.28860000000000002</v>
      </c>
      <c r="L92" s="9"/>
      <c r="M92" s="8">
        <v>9948620.1699999999</v>
      </c>
      <c r="N92" s="5" t="s">
        <v>156</v>
      </c>
      <c r="O92" s="5"/>
      <c r="P92" s="10">
        <f t="shared" si="26"/>
        <v>3860.9133826314619</v>
      </c>
      <c r="Q92" s="11">
        <f t="shared" si="27"/>
        <v>0.44667478173676128</v>
      </c>
      <c r="R92" s="10">
        <f t="shared" si="28"/>
        <v>8318.1634480837783</v>
      </c>
      <c r="S92" s="11">
        <f t="shared" si="29"/>
        <v>1.0391330906481746</v>
      </c>
      <c r="T92" s="10">
        <f t="shared" si="30"/>
        <v>128116826.02000001</v>
      </c>
      <c r="U92" s="12">
        <f t="shared" si="31"/>
        <v>2</v>
      </c>
      <c r="V92" s="11">
        <f t="shared" si="32"/>
        <v>0.51152266427022897</v>
      </c>
      <c r="W92" s="11">
        <f t="shared" si="33"/>
        <v>0.49100378033066278</v>
      </c>
      <c r="X92" s="11">
        <f t="shared" si="34"/>
        <v>3.3311375431435426E-2</v>
      </c>
      <c r="Y92" s="12">
        <f t="shared" si="35"/>
        <v>10</v>
      </c>
      <c r="Z92" s="12">
        <f t="shared" si="36"/>
        <v>3</v>
      </c>
      <c r="AA92" s="12">
        <f t="shared" si="37"/>
        <v>37</v>
      </c>
      <c r="AB92" s="12">
        <f t="shared" si="38"/>
        <v>32</v>
      </c>
      <c r="AC92" s="5" t="s">
        <v>311</v>
      </c>
    </row>
    <row r="93" spans="1:29" x14ac:dyDescent="0.25">
      <c r="A93" s="5" t="s">
        <v>312</v>
      </c>
      <c r="B93" s="6" t="s">
        <v>313</v>
      </c>
      <c r="C93" s="7">
        <v>279898</v>
      </c>
      <c r="D93" s="8">
        <v>1876226509.4200001</v>
      </c>
      <c r="E93" s="8">
        <v>1773110644.8299999</v>
      </c>
      <c r="F93" s="8">
        <v>1773110644.8299999</v>
      </c>
      <c r="G93" s="8">
        <v>544978965.66999996</v>
      </c>
      <c r="H93" s="8">
        <v>1714209959.3199999</v>
      </c>
      <c r="I93" s="8">
        <v>537143727.94000006</v>
      </c>
      <c r="J93" s="8">
        <v>38234404.719999999</v>
      </c>
      <c r="K93" s="9">
        <v>6.9099999999999995E-2</v>
      </c>
      <c r="L93" s="9">
        <v>1.2</v>
      </c>
      <c r="M93" s="8">
        <v>63933345.859999999</v>
      </c>
      <c r="N93" s="5" t="s">
        <v>120</v>
      </c>
      <c r="O93" s="5"/>
      <c r="P93" s="10">
        <f t="shared" si="26"/>
        <v>1947.0627359609571</v>
      </c>
      <c r="Q93" s="11">
        <f t="shared" si="27"/>
        <v>0.30735756240539108</v>
      </c>
      <c r="R93" s="10">
        <f t="shared" si="28"/>
        <v>6703.2508607421278</v>
      </c>
      <c r="S93" s="11">
        <f t="shared" si="29"/>
        <v>0.94504082312434845</v>
      </c>
      <c r="T93" s="10">
        <f t="shared" si="30"/>
        <v>575378132.66000009</v>
      </c>
      <c r="U93" s="12">
        <f t="shared" si="31"/>
        <v>2</v>
      </c>
      <c r="V93" s="11">
        <f t="shared" si="32"/>
        <v>0.3356520766500759</v>
      </c>
      <c r="W93" s="11">
        <f t="shared" si="33"/>
        <v>0.31334768825697201</v>
      </c>
      <c r="X93" s="11">
        <f t="shared" si="34"/>
        <v>3.4075494370753662E-2</v>
      </c>
      <c r="Y93" s="12">
        <f t="shared" si="35"/>
        <v>64</v>
      </c>
      <c r="Z93" s="12">
        <f t="shared" si="36"/>
        <v>36</v>
      </c>
      <c r="AA93" s="12">
        <f t="shared" si="37"/>
        <v>80</v>
      </c>
      <c r="AB93" s="12">
        <f t="shared" si="38"/>
        <v>88</v>
      </c>
      <c r="AC93" s="5"/>
    </row>
  </sheetData>
  <autoFilter ref="A1:AC93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03"/>
  <sheetViews>
    <sheetView workbookViewId="0"/>
  </sheetViews>
  <sheetFormatPr defaultRowHeight="14.3" x14ac:dyDescent="0.25"/>
  <cols>
    <col min="1" max="1" width="38" customWidth="1"/>
    <col min="2" max="6" width="18" customWidth="1"/>
  </cols>
  <sheetData>
    <row r="1" spans="1:15" ht="15.7" x14ac:dyDescent="0.25">
      <c r="A1" s="29" t="s">
        <v>314</v>
      </c>
    </row>
    <row r="2" spans="1:15" ht="42.1" customHeight="1" x14ac:dyDescent="0.25">
      <c r="A2" s="38" t="s">
        <v>315</v>
      </c>
      <c r="B2" s="39"/>
      <c r="C2" s="39"/>
      <c r="D2" s="39"/>
      <c r="E2" s="39"/>
      <c r="F2" s="39"/>
      <c r="G2" s="39"/>
    </row>
    <row r="4" spans="1:15" ht="44.05" customHeight="1" x14ac:dyDescent="0.25">
      <c r="A4" s="4" t="s">
        <v>316</v>
      </c>
      <c r="B4" s="4" t="s">
        <v>317</v>
      </c>
      <c r="C4" s="4" t="s">
        <v>318</v>
      </c>
      <c r="D4" s="4" t="s">
        <v>319</v>
      </c>
      <c r="E4" s="4" t="s">
        <v>320</v>
      </c>
      <c r="F4" s="4" t="s">
        <v>321</v>
      </c>
    </row>
    <row r="5" spans="1:15" x14ac:dyDescent="0.25">
      <c r="A5" s="30" t="s">
        <v>322</v>
      </c>
      <c r="B5" s="12">
        <f>COUNT('Municípios RJ'!P2:P93)</f>
        <v>92</v>
      </c>
      <c r="C5" s="10">
        <f>MEDIAN('Municípios RJ'!P2:P93)</f>
        <v>2319.4488345760242</v>
      </c>
      <c r="D5" s="11">
        <f>MEDIAN('Municípios RJ'!Q2:Q93)</f>
        <v>0.28996425440478413</v>
      </c>
      <c r="E5" s="11">
        <f>MEDIAN('Municípios RJ'!V2:V93)</f>
        <v>0.48144482827111212</v>
      </c>
      <c r="F5" s="11">
        <f>MEDIAN('Municípios RJ'!S2:S93)</f>
        <v>1.0214341870026435</v>
      </c>
    </row>
    <row r="6" spans="1:15" x14ac:dyDescent="0.25">
      <c r="A6" s="31" t="s">
        <v>323</v>
      </c>
      <c r="B6" s="12">
        <f>COUNT(D12:D103)</f>
        <v>88</v>
      </c>
      <c r="C6" s="10">
        <f>MEDIAN(D12:D103)</f>
        <v>2282.039110914804</v>
      </c>
      <c r="D6" s="11">
        <f>MEDIAN(G12:G103)</f>
        <v>0.29340895719791049</v>
      </c>
      <c r="E6" s="11">
        <f>MEDIAN(J12:J103)</f>
        <v>0.46728645438649535</v>
      </c>
      <c r="F6" s="11">
        <f>MEDIAN(M12:M103)</f>
        <v>1.0195662642778256</v>
      </c>
    </row>
    <row r="7" spans="1:15" x14ac:dyDescent="0.25">
      <c r="A7" s="31" t="s">
        <v>324</v>
      </c>
      <c r="B7" s="12">
        <f>COUNT(E12:E103)</f>
        <v>80</v>
      </c>
      <c r="C7" s="10">
        <f>MEDIAN(E12:E103)</f>
        <v>2225.1764273211011</v>
      </c>
      <c r="D7" s="11">
        <f>MEDIAN(H12:H103)</f>
        <v>0.28503176369620598</v>
      </c>
      <c r="E7" s="11">
        <f>MEDIAN(K12:K103)</f>
        <v>0.48814695738145686</v>
      </c>
      <c r="F7" s="11">
        <f>MEDIAN(N12:N103)</f>
        <v>1.0223342771936821</v>
      </c>
    </row>
    <row r="8" spans="1:15" x14ac:dyDescent="0.25">
      <c r="A8" s="31" t="s">
        <v>325</v>
      </c>
      <c r="B8" s="12">
        <f>COUNT(F12:F103)</f>
        <v>76</v>
      </c>
      <c r="C8" s="10">
        <f>MEDIAN(F12:F103)</f>
        <v>2209.6753575886964</v>
      </c>
      <c r="D8" s="11">
        <f>MEDIAN(I12:I103)</f>
        <v>0.28503176369620598</v>
      </c>
      <c r="E8" s="11">
        <f>MEDIAN(L12:L103)</f>
        <v>0.47259840814953041</v>
      </c>
      <c r="F8" s="11">
        <f>MEDIAN(O12:O103)</f>
        <v>1.0200729288822696</v>
      </c>
    </row>
    <row r="10" spans="1:15" x14ac:dyDescent="0.25">
      <c r="A10" s="32" t="s">
        <v>326</v>
      </c>
    </row>
    <row r="11" spans="1:15" ht="60.1" customHeight="1" x14ac:dyDescent="0.25">
      <c r="A11" s="4" t="s">
        <v>327</v>
      </c>
      <c r="B11" s="4" t="s">
        <v>117</v>
      </c>
      <c r="C11" s="4" t="s">
        <v>328</v>
      </c>
      <c r="D11" s="4" t="s">
        <v>329</v>
      </c>
      <c r="E11" s="4" t="s">
        <v>330</v>
      </c>
      <c r="F11" s="4" t="s">
        <v>331</v>
      </c>
      <c r="G11" s="4" t="s">
        <v>332</v>
      </c>
      <c r="H11" s="4" t="s">
        <v>333</v>
      </c>
      <c r="I11" s="4" t="s">
        <v>334</v>
      </c>
      <c r="J11" s="4" t="s">
        <v>335</v>
      </c>
      <c r="K11" s="4" t="s">
        <v>336</v>
      </c>
      <c r="L11" s="4" t="s">
        <v>337</v>
      </c>
      <c r="M11" s="4" t="s">
        <v>338</v>
      </c>
      <c r="N11" s="4" t="s">
        <v>339</v>
      </c>
      <c r="O11" s="4" t="s">
        <v>340</v>
      </c>
    </row>
    <row r="12" spans="1:15" x14ac:dyDescent="0.25">
      <c r="A12" s="33" t="str">
        <f>'Municípios RJ'!A2</f>
        <v>Angra dos Reis</v>
      </c>
      <c r="B12" s="33" t="str">
        <f>'Municípios RJ'!O2&amp;""</f>
        <v/>
      </c>
      <c r="C12" s="33" t="str">
        <f>'Municípios RJ'!N2</f>
        <v>não</v>
      </c>
      <c r="D12" s="34">
        <f>IF($B12="",'Municípios RJ'!P2,"")</f>
        <v>3792.5879454555602</v>
      </c>
      <c r="E12" s="34">
        <f>IF($C12="não",'Municípios RJ'!P2,"")</f>
        <v>3792.5879454555602</v>
      </c>
      <c r="F12" s="34">
        <f>IF(AND($B12="",$C12="não"),'Municípios RJ'!P2,"")</f>
        <v>3792.5879454555602</v>
      </c>
      <c r="G12" s="35">
        <f>IF($B12="",'Municípios RJ'!Q2,"")</f>
        <v>0.25570148138563414</v>
      </c>
      <c r="H12" s="35">
        <f>IF($C12="não",'Municípios RJ'!Q2,"")</f>
        <v>0.25570148138563414</v>
      </c>
      <c r="I12" s="35">
        <f>IF(AND($B12="",$C12="não"),'Municípios RJ'!Q2,"")</f>
        <v>0.25570148138563414</v>
      </c>
      <c r="J12" s="35">
        <f>IF($B12="",'Municípios RJ'!V2,"")</f>
        <v>0.45994444202729678</v>
      </c>
      <c r="K12" s="35">
        <f>IF($C12="não",'Municípios RJ'!V2,"")</f>
        <v>0.45994444202729678</v>
      </c>
      <c r="L12" s="35">
        <f>IF(AND($B12="",$C12="não"),'Municípios RJ'!V2,"")</f>
        <v>0.45994444202729678</v>
      </c>
      <c r="M12" s="35">
        <f>IF($B12="",'Municípios RJ'!S2,"")</f>
        <v>1.1369489991009922</v>
      </c>
      <c r="N12" s="35">
        <f>IF($C12="não",'Municípios RJ'!S2,"")</f>
        <v>1.1369489991009922</v>
      </c>
      <c r="O12" s="35">
        <f>IF(AND($B12="",$C12="não"),'Municípios RJ'!S2,"")</f>
        <v>1.1369489991009922</v>
      </c>
    </row>
    <row r="13" spans="1:15" x14ac:dyDescent="0.25">
      <c r="A13" s="33" t="str">
        <f>'Municípios RJ'!A3</f>
        <v>Aperibé</v>
      </c>
      <c r="B13" s="33" t="str">
        <f>'Municípios RJ'!O3&amp;""</f>
        <v/>
      </c>
      <c r="C13" s="33" t="str">
        <f>'Municípios RJ'!N3</f>
        <v>não</v>
      </c>
      <c r="D13" s="34">
        <f>IF($B13="",'Municípios RJ'!P3,"")</f>
        <v>3035.1442880910686</v>
      </c>
      <c r="E13" s="34">
        <f>IF($C13="não",'Municípios RJ'!P3,"")</f>
        <v>3035.1442880910686</v>
      </c>
      <c r="F13" s="34">
        <f>IF(AND($B13="",$C13="não"),'Municípios RJ'!P3,"")</f>
        <v>3035.1442880910686</v>
      </c>
      <c r="G13" s="35">
        <f>IF($B13="",'Municípios RJ'!Q3,"")</f>
        <v>0.31218798043797813</v>
      </c>
      <c r="H13" s="35">
        <f>IF($C13="não",'Municípios RJ'!Q3,"")</f>
        <v>0.31218798043797813</v>
      </c>
      <c r="I13" s="35">
        <f>IF(AND($B13="",$C13="não"),'Municípios RJ'!Q3,"")</f>
        <v>0.31218798043797813</v>
      </c>
      <c r="J13" s="35">
        <f>IF($B13="",'Municípios RJ'!V3,"")</f>
        <v>0.52659987335683489</v>
      </c>
      <c r="K13" s="35">
        <f>IF($C13="não",'Municípios RJ'!V3,"")</f>
        <v>0.52659987335683489</v>
      </c>
      <c r="L13" s="35">
        <f>IF(AND($B13="",$C13="não"),'Municípios RJ'!V3,"")</f>
        <v>0.52659987335683489</v>
      </c>
      <c r="M13" s="35">
        <f>IF($B13="",'Municípios RJ'!S3,"")</f>
        <v>0.9353669811335299</v>
      </c>
      <c r="N13" s="35">
        <f>IF($C13="não",'Municípios RJ'!S3,"")</f>
        <v>0.9353669811335299</v>
      </c>
      <c r="O13" s="35">
        <f>IF(AND($B13="",$C13="não"),'Municípios RJ'!S3,"")</f>
        <v>0.9353669811335299</v>
      </c>
    </row>
    <row r="14" spans="1:15" x14ac:dyDescent="0.25">
      <c r="A14" s="33" t="str">
        <f>'Municípios RJ'!A4</f>
        <v>Araruama</v>
      </c>
      <c r="B14" s="33" t="str">
        <f>'Municípios RJ'!O4&amp;""</f>
        <v/>
      </c>
      <c r="C14" s="33" t="str">
        <f>'Municípios RJ'!N4</f>
        <v>não</v>
      </c>
      <c r="D14" s="34">
        <f>IF($B14="",'Municípios RJ'!P4,"")</f>
        <v>1959.901478010931</v>
      </c>
      <c r="E14" s="34">
        <f>IF($C14="não",'Municípios RJ'!P4,"")</f>
        <v>1959.901478010931</v>
      </c>
      <c r="F14" s="34">
        <f>IF(AND($B14="",$C14="não"),'Municípios RJ'!P4,"")</f>
        <v>1959.901478010931</v>
      </c>
      <c r="G14" s="35">
        <f>IF($B14="",'Municípios RJ'!Q4,"")</f>
        <v>0.22810092249288474</v>
      </c>
      <c r="H14" s="35">
        <f>IF($C14="não",'Municípios RJ'!Q4,"")</f>
        <v>0.22810092249288474</v>
      </c>
      <c r="I14" s="35">
        <f>IF(AND($B14="",$C14="não"),'Municípios RJ'!Q4,"")</f>
        <v>0.22810092249288474</v>
      </c>
      <c r="J14" s="35">
        <f>IF($B14="",'Municípios RJ'!V4,"")</f>
        <v>0.35707737190912558</v>
      </c>
      <c r="K14" s="35">
        <f>IF($C14="não",'Municípios RJ'!V4,"")</f>
        <v>0.35707737190912558</v>
      </c>
      <c r="L14" s="35">
        <f>IF(AND($B14="",$C14="não"),'Municípios RJ'!V4,"")</f>
        <v>0.35707737190912558</v>
      </c>
      <c r="M14" s="35">
        <f>IF($B14="",'Municípios RJ'!S4,"")</f>
        <v>1.0227277027802764</v>
      </c>
      <c r="N14" s="35">
        <f>IF($C14="não",'Municípios RJ'!S4,"")</f>
        <v>1.0227277027802764</v>
      </c>
      <c r="O14" s="35">
        <f>IF(AND($B14="",$C14="não"),'Municípios RJ'!S4,"")</f>
        <v>1.0227277027802764</v>
      </c>
    </row>
    <row r="15" spans="1:15" x14ac:dyDescent="0.25">
      <c r="A15" s="33" t="str">
        <f>'Municípios RJ'!A5</f>
        <v>Areal</v>
      </c>
      <c r="B15" s="33" t="str">
        <f>'Municípios RJ'!O5&amp;""</f>
        <v>RCL atípica</v>
      </c>
      <c r="C15" s="33" t="str">
        <f>'Municípios RJ'!N5</f>
        <v>não</v>
      </c>
      <c r="D15" s="34" t="str">
        <f>IF($B15="",'Municípios RJ'!P5,"")</f>
        <v/>
      </c>
      <c r="E15" s="34">
        <f>IF($C15="não",'Municípios RJ'!P5,"")</f>
        <v>2835.1085746976137</v>
      </c>
      <c r="F15" s="34" t="str">
        <f>IF(AND($B15="",$C15="não"),'Municípios RJ'!P5,"")</f>
        <v/>
      </c>
      <c r="G15" s="35" t="str">
        <f>IF($B15="",'Municípios RJ'!Q5,"")</f>
        <v/>
      </c>
      <c r="H15" s="35">
        <f>IF($C15="não",'Municípios RJ'!Q5,"")</f>
        <v>0.23322259291185002</v>
      </c>
      <c r="I15" s="35" t="str">
        <f>IF(AND($B15="",$C15="não"),'Municípios RJ'!Q5,"")</f>
        <v/>
      </c>
      <c r="J15" s="35" t="str">
        <f>IF($B15="",'Municípios RJ'!V5,"")</f>
        <v/>
      </c>
      <c r="K15" s="35">
        <f>IF($C15="não",'Municípios RJ'!V5,"")</f>
        <v>1.5972773418156339</v>
      </c>
      <c r="L15" s="35" t="str">
        <f>IF(AND($B15="",$C15="não"),'Municípios RJ'!V5,"")</f>
        <v/>
      </c>
      <c r="M15" s="35" t="str">
        <f>IF($B15="",'Municípios RJ'!S5,"")</f>
        <v/>
      </c>
      <c r="N15" s="35">
        <f>IF($C15="não",'Municípios RJ'!S5,"")</f>
        <v>1.0316166587517863</v>
      </c>
      <c r="O15" s="35" t="str">
        <f>IF(AND($B15="",$C15="não"),'Municípios RJ'!S5,"")</f>
        <v/>
      </c>
    </row>
    <row r="16" spans="1:15" x14ac:dyDescent="0.25">
      <c r="A16" s="33" t="str">
        <f>'Municípios RJ'!A6</f>
        <v>Armação dos Búzios</v>
      </c>
      <c r="B16" s="33" t="str">
        <f>'Municípios RJ'!O6&amp;""</f>
        <v>totais de despesa inconsistentes</v>
      </c>
      <c r="C16" s="33" t="str">
        <f>'Municípios RJ'!N6</f>
        <v>não</v>
      </c>
      <c r="D16" s="34" t="str">
        <f>IF($B16="",'Municípios RJ'!P6,"")</f>
        <v/>
      </c>
      <c r="E16" s="34">
        <f>IF($C16="não",'Municípios RJ'!P6,"")</f>
        <v>3681.2005946939348</v>
      </c>
      <c r="F16" s="34" t="str">
        <f>IF(AND($B16="",$C16="não"),'Municípios RJ'!P6,"")</f>
        <v/>
      </c>
      <c r="G16" s="35" t="str">
        <f>IF($B16="",'Municípios RJ'!Q6,"")</f>
        <v/>
      </c>
      <c r="H16" s="35">
        <f>IF($C16="não",'Municípios RJ'!Q6,"")</f>
        <v>0.28790843795571108</v>
      </c>
      <c r="I16" s="35" t="str">
        <f>IF(AND($B16="",$C16="não"),'Municípios RJ'!Q6,"")</f>
        <v/>
      </c>
      <c r="J16" s="35" t="str">
        <f>IF($B16="",'Municípios RJ'!V6,"")</f>
        <v/>
      </c>
      <c r="K16" s="35">
        <f>IF($C16="não",'Municípios RJ'!V6,"")</f>
        <v>0.48816234796375196</v>
      </c>
      <c r="L16" s="35" t="str">
        <f>IF(AND($B16="",$C16="não"),'Municípios RJ'!V6,"")</f>
        <v/>
      </c>
      <c r="M16" s="35" t="str">
        <f>IF($B16="",'Municípios RJ'!S6,"")</f>
        <v/>
      </c>
      <c r="N16" s="35">
        <f>IF($C16="não",'Municípios RJ'!S6,"")</f>
        <v>0.85805588831305202</v>
      </c>
      <c r="O16" s="35" t="str">
        <f>IF(AND($B16="",$C16="não"),'Municípios RJ'!S6,"")</f>
        <v/>
      </c>
    </row>
    <row r="17" spans="1:15" x14ac:dyDescent="0.25">
      <c r="A17" s="33" t="str">
        <f>'Municípios RJ'!A7</f>
        <v>Arraial do Cabo</v>
      </c>
      <c r="B17" s="33" t="str">
        <f>'Municípios RJ'!O7&amp;""</f>
        <v/>
      </c>
      <c r="C17" s="33" t="str">
        <f>'Municípios RJ'!N7</f>
        <v>não</v>
      </c>
      <c r="D17" s="34">
        <f>IF($B17="",'Municípios RJ'!P7,"")</f>
        <v>5524.5529926206018</v>
      </c>
      <c r="E17" s="34">
        <f>IF($C17="não",'Municípios RJ'!P7,"")</f>
        <v>5524.5529926206018</v>
      </c>
      <c r="F17" s="34">
        <f>IF(AND($B17="",$C17="não"),'Municípios RJ'!P7,"")</f>
        <v>5524.5529926206018</v>
      </c>
      <c r="G17" s="35">
        <f>IF($B17="",'Municípios RJ'!Q7,"")</f>
        <v>0.25275736814284222</v>
      </c>
      <c r="H17" s="35">
        <f>IF($C17="não",'Municípios RJ'!Q7,"")</f>
        <v>0.25275736814284222</v>
      </c>
      <c r="I17" s="35">
        <f>IF(AND($B17="",$C17="não"),'Municípios RJ'!Q7,"")</f>
        <v>0.25275736814284222</v>
      </c>
      <c r="J17" s="35">
        <f>IF($B17="",'Municípios RJ'!V7,"")</f>
        <v>0.41830667807444705</v>
      </c>
      <c r="K17" s="35">
        <f>IF($C17="não",'Municípios RJ'!V7,"")</f>
        <v>0.41830667807444705</v>
      </c>
      <c r="L17" s="35">
        <f>IF(AND($B17="",$C17="não"),'Municípios RJ'!V7,"")</f>
        <v>0.41830667807444705</v>
      </c>
      <c r="M17" s="35">
        <f>IF($B17="",'Municípios RJ'!S7,"")</f>
        <v>0.87533714002327168</v>
      </c>
      <c r="N17" s="35">
        <f>IF($C17="não",'Municípios RJ'!S7,"")</f>
        <v>0.87533714002327168</v>
      </c>
      <c r="O17" s="35">
        <f>IF(AND($B17="",$C17="não"),'Municípios RJ'!S7,"")</f>
        <v>0.87533714002327168</v>
      </c>
    </row>
    <row r="18" spans="1:15" x14ac:dyDescent="0.25">
      <c r="A18" s="33" t="str">
        <f>'Municípios RJ'!A8</f>
        <v>Barra Mansa</v>
      </c>
      <c r="B18" s="33" t="str">
        <f>'Municípios RJ'!O8&amp;""</f>
        <v/>
      </c>
      <c r="C18" s="33" t="str">
        <f>'Municípios RJ'!N8</f>
        <v>não</v>
      </c>
      <c r="D18" s="34">
        <f>IF($B18="",'Municípios RJ'!P8,"")</f>
        <v>1421.3956461626524</v>
      </c>
      <c r="E18" s="34">
        <f>IF($C18="não",'Municípios RJ'!P8,"")</f>
        <v>1421.3956461626524</v>
      </c>
      <c r="F18" s="34">
        <f>IF(AND($B18="",$C18="não"),'Municípios RJ'!P8,"")</f>
        <v>1421.3956461626524</v>
      </c>
      <c r="G18" s="35">
        <f>IF($B18="",'Municípios RJ'!Q8,"")</f>
        <v>0.27569680755322434</v>
      </c>
      <c r="H18" s="35">
        <f>IF($C18="não",'Municípios RJ'!Q8,"")</f>
        <v>0.27569680755322434</v>
      </c>
      <c r="I18" s="35">
        <f>IF(AND($B18="",$C18="não"),'Municípios RJ'!Q8,"")</f>
        <v>0.27569680755322434</v>
      </c>
      <c r="J18" s="35">
        <f>IF($B18="",'Municípios RJ'!V8,"")</f>
        <v>0.50263715107524509</v>
      </c>
      <c r="K18" s="35">
        <f>IF($C18="não",'Municípios RJ'!V8,"")</f>
        <v>0.50263715107524509</v>
      </c>
      <c r="L18" s="35">
        <f>IF(AND($B18="",$C18="não"),'Municípios RJ'!V8,"")</f>
        <v>0.50263715107524509</v>
      </c>
      <c r="M18" s="35">
        <f>IF($B18="",'Municípios RJ'!S8,"")</f>
        <v>1.0436581940758289</v>
      </c>
      <c r="N18" s="35">
        <f>IF($C18="não",'Municípios RJ'!S8,"")</f>
        <v>1.0436581940758289</v>
      </c>
      <c r="O18" s="35">
        <f>IF(AND($B18="",$C18="não"),'Municípios RJ'!S8,"")</f>
        <v>1.0436581940758289</v>
      </c>
    </row>
    <row r="19" spans="1:15" x14ac:dyDescent="0.25">
      <c r="A19" s="33" t="str">
        <f>'Municípios RJ'!A9</f>
        <v>Barra do Piraí</v>
      </c>
      <c r="B19" s="33" t="str">
        <f>'Municípios RJ'!O9&amp;""</f>
        <v/>
      </c>
      <c r="C19" s="33" t="str">
        <f>'Municípios RJ'!N9</f>
        <v>não</v>
      </c>
      <c r="D19" s="34">
        <f>IF($B19="",'Municípios RJ'!P9,"")</f>
        <v>1273.9714422188608</v>
      </c>
      <c r="E19" s="34">
        <f>IF($C19="não",'Municípios RJ'!P9,"")</f>
        <v>1273.9714422188608</v>
      </c>
      <c r="F19" s="34">
        <f>IF(AND($B19="",$C19="não"),'Municípios RJ'!P9,"")</f>
        <v>1273.9714422188608</v>
      </c>
      <c r="G19" s="35">
        <f>IF($B19="",'Municípios RJ'!Q9,"")</f>
        <v>0.24857022440762261</v>
      </c>
      <c r="H19" s="35">
        <f>IF($C19="não",'Municípios RJ'!Q9,"")</f>
        <v>0.24857022440762261</v>
      </c>
      <c r="I19" s="35">
        <f>IF(AND($B19="",$C19="não"),'Municípios RJ'!Q9,"")</f>
        <v>0.24857022440762261</v>
      </c>
      <c r="J19" s="35">
        <f>IF($B19="",'Municípios RJ'!V9,"")</f>
        <v>0.45387495363707325</v>
      </c>
      <c r="K19" s="35">
        <f>IF($C19="não",'Municípios RJ'!V9,"")</f>
        <v>0.45387495363707325</v>
      </c>
      <c r="L19" s="35">
        <f>IF(AND($B19="",$C19="não"),'Municípios RJ'!V9,"")</f>
        <v>0.45387495363707325</v>
      </c>
      <c r="M19" s="35">
        <f>IF($B19="",'Municípios RJ'!S9,"")</f>
        <v>1.2207285130928849</v>
      </c>
      <c r="N19" s="35">
        <f>IF($C19="não",'Municípios RJ'!S9,"")</f>
        <v>1.2207285130928849</v>
      </c>
      <c r="O19" s="35">
        <f>IF(AND($B19="",$C19="não"),'Municípios RJ'!S9,"")</f>
        <v>1.2207285130928849</v>
      </c>
    </row>
    <row r="20" spans="1:15" x14ac:dyDescent="0.25">
      <c r="A20" s="33" t="str">
        <f>'Municípios RJ'!A10</f>
        <v>Belford Roxo</v>
      </c>
      <c r="B20" s="33" t="str">
        <f>'Municípios RJ'!O10&amp;""</f>
        <v/>
      </c>
      <c r="C20" s="33" t="str">
        <f>'Municípios RJ'!N10</f>
        <v>não</v>
      </c>
      <c r="D20" s="34">
        <f>IF($B20="",'Municípios RJ'!P10,"")</f>
        <v>1101.6578179225608</v>
      </c>
      <c r="E20" s="34">
        <f>IF($C20="não",'Municípios RJ'!P10,"")</f>
        <v>1101.6578179225608</v>
      </c>
      <c r="F20" s="34">
        <f>IF(AND($B20="",$C20="não"),'Municípios RJ'!P10,"")</f>
        <v>1101.6578179225608</v>
      </c>
      <c r="G20" s="35">
        <f>IF($B20="",'Municípios RJ'!Q10,"")</f>
        <v>0.33981502367248301</v>
      </c>
      <c r="H20" s="35">
        <f>IF($C20="não",'Municípios RJ'!Q10,"")</f>
        <v>0.33981502367248301</v>
      </c>
      <c r="I20" s="35">
        <f>IF(AND($B20="",$C20="não"),'Municípios RJ'!Q10,"")</f>
        <v>0.33981502367248301</v>
      </c>
      <c r="J20" s="35">
        <f>IF($B20="",'Municípios RJ'!V10,"")</f>
        <v>0.5112266772813393</v>
      </c>
      <c r="K20" s="35">
        <f>IF($C20="não",'Municípios RJ'!V10,"")</f>
        <v>0.5112266772813393</v>
      </c>
      <c r="L20" s="35">
        <f>IF(AND($B20="",$C20="não"),'Municípios RJ'!V10,"")</f>
        <v>0.5112266772813393</v>
      </c>
      <c r="M20" s="35">
        <f>IF($B20="",'Municípios RJ'!S10,"")</f>
        <v>1.0277770648681299</v>
      </c>
      <c r="N20" s="35">
        <f>IF($C20="não",'Municípios RJ'!S10,"")</f>
        <v>1.0277770648681299</v>
      </c>
      <c r="O20" s="35">
        <f>IF(AND($B20="",$C20="não"),'Municípios RJ'!S10,"")</f>
        <v>1.0277770648681299</v>
      </c>
    </row>
    <row r="21" spans="1:15" x14ac:dyDescent="0.25">
      <c r="A21" s="33" t="str">
        <f>'Municípios RJ'!A11</f>
        <v>Bom Jardim</v>
      </c>
      <c r="B21" s="33" t="str">
        <f>'Municípios RJ'!O11&amp;""</f>
        <v/>
      </c>
      <c r="C21" s="33" t="str">
        <f>'Municípios RJ'!N11</f>
        <v>não</v>
      </c>
      <c r="D21" s="34">
        <f>IF($B21="",'Municípios RJ'!P11,"")</f>
        <v>1478.6952919020716</v>
      </c>
      <c r="E21" s="34">
        <f>IF($C21="não",'Municípios RJ'!P11,"")</f>
        <v>1478.6952919020716</v>
      </c>
      <c r="F21" s="34">
        <f>IF(AND($B21="",$C21="não"),'Municípios RJ'!P11,"")</f>
        <v>1478.6952919020716</v>
      </c>
      <c r="G21" s="35">
        <f>IF($B21="",'Municípios RJ'!Q11,"")</f>
        <v>0.28671549853477302</v>
      </c>
      <c r="H21" s="35">
        <f>IF($C21="não",'Municípios RJ'!Q11,"")</f>
        <v>0.28671549853477302</v>
      </c>
      <c r="I21" s="35">
        <f>IF(AND($B21="",$C21="não"),'Municípios RJ'!Q11,"")</f>
        <v>0.28671549853477302</v>
      </c>
      <c r="J21" s="35">
        <f>IF($B21="",'Municípios RJ'!V11,"")</f>
        <v>0.51948018799259132</v>
      </c>
      <c r="K21" s="35">
        <f>IF($C21="não",'Municípios RJ'!V11,"")</f>
        <v>0.51948018799259132</v>
      </c>
      <c r="L21" s="35">
        <f>IF(AND($B21="",$C21="não"),'Municípios RJ'!V11,"")</f>
        <v>0.51948018799259132</v>
      </c>
      <c r="M21" s="35">
        <f>IF($B21="",'Municípios RJ'!S11,"")</f>
        <v>0.93580740696391329</v>
      </c>
      <c r="N21" s="35">
        <f>IF($C21="não",'Municípios RJ'!S11,"")</f>
        <v>0.93580740696391329</v>
      </c>
      <c r="O21" s="35">
        <f>IF(AND($B21="",$C21="não"),'Municípios RJ'!S11,"")</f>
        <v>0.93580740696391329</v>
      </c>
    </row>
    <row r="22" spans="1:15" x14ac:dyDescent="0.25">
      <c r="A22" s="33" t="str">
        <f>'Municípios RJ'!A12</f>
        <v>Bom Jesus do Itabapoana</v>
      </c>
      <c r="B22" s="33" t="str">
        <f>'Municípios RJ'!O12&amp;""</f>
        <v/>
      </c>
      <c r="C22" s="33" t="str">
        <f>'Municípios RJ'!N12</f>
        <v>não</v>
      </c>
      <c r="D22" s="34">
        <f>IF($B22="",'Municípios RJ'!P12,"")</f>
        <v>3801.1148501560315</v>
      </c>
      <c r="E22" s="34">
        <f>IF($C22="não",'Municípios RJ'!P12,"")</f>
        <v>3801.1148501560315</v>
      </c>
      <c r="F22" s="34">
        <f>IF(AND($B22="",$C22="não"),'Municípios RJ'!P12,"")</f>
        <v>3801.1148501560315</v>
      </c>
      <c r="G22" s="35">
        <f>IF($B22="",'Municípios RJ'!Q12,"")</f>
        <v>0.47915151799335365</v>
      </c>
      <c r="H22" s="35">
        <f>IF($C22="não",'Municípios RJ'!Q12,"")</f>
        <v>0.47915151799335365</v>
      </c>
      <c r="I22" s="35">
        <f>IF(AND($B22="",$C22="não"),'Municípios RJ'!Q12,"")</f>
        <v>0.47915151799335365</v>
      </c>
      <c r="J22" s="35">
        <f>IF($B22="",'Municípios RJ'!V12,"")</f>
        <v>0.34561201818968823</v>
      </c>
      <c r="K22" s="35">
        <f>IF($C22="não",'Municípios RJ'!V12,"")</f>
        <v>0.34561201818968823</v>
      </c>
      <c r="L22" s="35">
        <f>IF(AND($B22="",$C22="não"),'Municípios RJ'!V12,"")</f>
        <v>0.34561201818968823</v>
      </c>
      <c r="M22" s="35">
        <f>IF($B22="",'Municípios RJ'!S12,"")</f>
        <v>1.0449894862939662</v>
      </c>
      <c r="N22" s="35">
        <f>IF($C22="não",'Municípios RJ'!S12,"")</f>
        <v>1.0449894862939662</v>
      </c>
      <c r="O22" s="35">
        <f>IF(AND($B22="",$C22="não"),'Municípios RJ'!S12,"")</f>
        <v>1.0449894862939662</v>
      </c>
    </row>
    <row r="23" spans="1:15" x14ac:dyDescent="0.25">
      <c r="A23" s="33" t="str">
        <f>'Municípios RJ'!A13</f>
        <v>Cabo Frio</v>
      </c>
      <c r="B23" s="33" t="str">
        <f>'Municípios RJ'!O13&amp;""</f>
        <v/>
      </c>
      <c r="C23" s="33" t="str">
        <f>'Municípios RJ'!N13</f>
        <v>não</v>
      </c>
      <c r="D23" s="34">
        <f>IF($B23="",'Municípios RJ'!P13,"")</f>
        <v>1986.7099905528078</v>
      </c>
      <c r="E23" s="34">
        <f>IF($C23="não",'Municípios RJ'!P13,"")</f>
        <v>1986.7099905528078</v>
      </c>
      <c r="F23" s="34">
        <f>IF(AND($B23="",$C23="não"),'Municípios RJ'!P13,"")</f>
        <v>1986.7099905528078</v>
      </c>
      <c r="G23" s="35">
        <f>IF($B23="",'Municípios RJ'!Q13,"")</f>
        <v>0.3022792251466962</v>
      </c>
      <c r="H23" s="35">
        <f>IF($C23="não",'Municípios RJ'!Q13,"")</f>
        <v>0.3022792251466962</v>
      </c>
      <c r="I23" s="35">
        <f>IF(AND($B23="",$C23="não"),'Municípios RJ'!Q13,"")</f>
        <v>0.3022792251466962</v>
      </c>
      <c r="J23" s="35">
        <f>IF($B23="",'Municípios RJ'!V13,"")</f>
        <v>0.64072167422732862</v>
      </c>
      <c r="K23" s="35">
        <f>IF($C23="não",'Municípios RJ'!V13,"")</f>
        <v>0.64072167422732862</v>
      </c>
      <c r="L23" s="35">
        <f>IF(AND($B23="",$C23="não"),'Municípios RJ'!V13,"")</f>
        <v>0.64072167422732862</v>
      </c>
      <c r="M23" s="35">
        <f>IF($B23="",'Municípios RJ'!S13,"")</f>
        <v>1.063920988142943</v>
      </c>
      <c r="N23" s="35">
        <f>IF($C23="não",'Municípios RJ'!S13,"")</f>
        <v>1.063920988142943</v>
      </c>
      <c r="O23" s="35">
        <f>IF(AND($B23="",$C23="não"),'Municípios RJ'!S13,"")</f>
        <v>1.063920988142943</v>
      </c>
    </row>
    <row r="24" spans="1:15" x14ac:dyDescent="0.25">
      <c r="A24" s="33" t="str">
        <f>'Municípios RJ'!A14</f>
        <v>Cachoeiras de Macacu</v>
      </c>
      <c r="B24" s="33" t="str">
        <f>'Municípios RJ'!O14&amp;""</f>
        <v/>
      </c>
      <c r="C24" s="33" t="str">
        <f>'Municípios RJ'!N14</f>
        <v>não</v>
      </c>
      <c r="D24" s="34">
        <f>IF($B24="",'Municípios RJ'!P14,"")</f>
        <v>2667.383017530959</v>
      </c>
      <c r="E24" s="34">
        <f>IF($C24="não",'Municípios RJ'!P14,"")</f>
        <v>2667.383017530959</v>
      </c>
      <c r="F24" s="34">
        <f>IF(AND($B24="",$C24="não"),'Municípios RJ'!P14,"")</f>
        <v>2667.383017530959</v>
      </c>
      <c r="G24" s="35">
        <f>IF($B24="",'Municípios RJ'!Q14,"")</f>
        <v>0.3202770099173553</v>
      </c>
      <c r="H24" s="35">
        <f>IF($C24="não",'Municípios RJ'!Q14,"")</f>
        <v>0.3202770099173553</v>
      </c>
      <c r="I24" s="35">
        <f>IF(AND($B24="",$C24="não"),'Municípios RJ'!Q14,"")</f>
        <v>0.3202770099173553</v>
      </c>
      <c r="J24" s="35">
        <f>IF($B24="",'Municípios RJ'!V14,"")</f>
        <v>0.36138022971919193</v>
      </c>
      <c r="K24" s="35">
        <f>IF($C24="não",'Municípios RJ'!V14,"")</f>
        <v>0.36138022971919193</v>
      </c>
      <c r="L24" s="35">
        <f>IF(AND($B24="",$C24="não"),'Municípios RJ'!V14,"")</f>
        <v>0.36138022971919193</v>
      </c>
      <c r="M24" s="35">
        <f>IF($B24="",'Municípios RJ'!S14,"")</f>
        <v>1.0818732113622567</v>
      </c>
      <c r="N24" s="35">
        <f>IF($C24="não",'Municípios RJ'!S14,"")</f>
        <v>1.0818732113622567</v>
      </c>
      <c r="O24" s="35">
        <f>IF(AND($B24="",$C24="não"),'Municípios RJ'!S14,"")</f>
        <v>1.0818732113622567</v>
      </c>
    </row>
    <row r="25" spans="1:15" x14ac:dyDescent="0.25">
      <c r="A25" s="33" t="str">
        <f>'Municípios RJ'!A15</f>
        <v>Cambuci</v>
      </c>
      <c r="B25" s="33" t="str">
        <f>'Municípios RJ'!O15&amp;""</f>
        <v/>
      </c>
      <c r="C25" s="33" t="str">
        <f>'Municípios RJ'!N15</f>
        <v>não</v>
      </c>
      <c r="D25" s="34">
        <f>IF($B25="",'Municípios RJ'!P15,"")</f>
        <v>3256.4560544127407</v>
      </c>
      <c r="E25" s="34">
        <f>IF($C25="não",'Municípios RJ'!P15,"")</f>
        <v>3256.4560544127407</v>
      </c>
      <c r="F25" s="34">
        <f>IF(AND($B25="",$C25="não"),'Municípios RJ'!P15,"")</f>
        <v>3256.4560544127407</v>
      </c>
      <c r="G25" s="35">
        <f>IF($B25="",'Municípios RJ'!Q15,"")</f>
        <v>0.32493999974117915</v>
      </c>
      <c r="H25" s="35">
        <f>IF($C25="não",'Municípios RJ'!Q15,"")</f>
        <v>0.32493999974117915</v>
      </c>
      <c r="I25" s="35">
        <f>IF(AND($B25="",$C25="não"),'Municípios RJ'!Q15,"")</f>
        <v>0.32493999974117915</v>
      </c>
      <c r="J25" s="35">
        <f>IF($B25="",'Municípios RJ'!V15,"")</f>
        <v>0.53165154300015161</v>
      </c>
      <c r="K25" s="35">
        <f>IF($C25="não",'Municípios RJ'!V15,"")</f>
        <v>0.53165154300015161</v>
      </c>
      <c r="L25" s="35">
        <f>IF(AND($B25="",$C25="não"),'Municípios RJ'!V15,"")</f>
        <v>0.53165154300015161</v>
      </c>
      <c r="M25" s="35">
        <f>IF($B25="",'Municípios RJ'!S15,"")</f>
        <v>1.2213111219046444</v>
      </c>
      <c r="N25" s="35">
        <f>IF($C25="não",'Municípios RJ'!S15,"")</f>
        <v>1.2213111219046444</v>
      </c>
      <c r="O25" s="35">
        <f>IF(AND($B25="",$C25="não"),'Municípios RJ'!S15,"")</f>
        <v>1.2213111219046444</v>
      </c>
    </row>
    <row r="26" spans="1:15" x14ac:dyDescent="0.25">
      <c r="A26" s="33" t="str">
        <f>'Municípios RJ'!A16</f>
        <v>Campos dos Goytacazes</v>
      </c>
      <c r="B26" s="33" t="str">
        <f>'Municípios RJ'!O16&amp;""</f>
        <v/>
      </c>
      <c r="C26" s="33" t="str">
        <f>'Municípios RJ'!N16</f>
        <v>não</v>
      </c>
      <c r="D26" s="34">
        <f>IF($B26="",'Municípios RJ'!P16,"")</f>
        <v>2212.4860182924831</v>
      </c>
      <c r="E26" s="34">
        <f>IF($C26="não",'Municípios RJ'!P16,"")</f>
        <v>2212.4860182924831</v>
      </c>
      <c r="F26" s="34">
        <f>IF(AND($B26="",$C26="não"),'Municípios RJ'!P16,"")</f>
        <v>2212.4860182924831</v>
      </c>
      <c r="G26" s="35">
        <f>IF($B26="",'Municípios RJ'!Q16,"")</f>
        <v>0.3734062308409643</v>
      </c>
      <c r="H26" s="35">
        <f>IF($C26="não",'Municípios RJ'!Q16,"")</f>
        <v>0.3734062308409643</v>
      </c>
      <c r="I26" s="35">
        <f>IF(AND($B26="",$C26="não"),'Municípios RJ'!Q16,"")</f>
        <v>0.3734062308409643</v>
      </c>
      <c r="J26" s="35">
        <f>IF($B26="",'Municípios RJ'!V16,"")</f>
        <v>0.43882283910514402</v>
      </c>
      <c r="K26" s="35">
        <f>IF($C26="não",'Municípios RJ'!V16,"")</f>
        <v>0.43882283910514402</v>
      </c>
      <c r="L26" s="35">
        <f>IF(AND($B26="",$C26="não"),'Municípios RJ'!V16,"")</f>
        <v>0.43882283910514402</v>
      </c>
      <c r="M26" s="35">
        <f>IF($B26="",'Municípios RJ'!S16,"")</f>
        <v>1.0791480716873707</v>
      </c>
      <c r="N26" s="35">
        <f>IF($C26="não",'Municípios RJ'!S16,"")</f>
        <v>1.0791480716873707</v>
      </c>
      <c r="O26" s="35">
        <f>IF(AND($B26="",$C26="não"),'Municípios RJ'!S16,"")</f>
        <v>1.0791480716873707</v>
      </c>
    </row>
    <row r="27" spans="1:15" x14ac:dyDescent="0.25">
      <c r="A27" s="33" t="str">
        <f>'Municípios RJ'!A17</f>
        <v>Cantagalo</v>
      </c>
      <c r="B27" s="33" t="str">
        <f>'Municípios RJ'!O17&amp;""</f>
        <v/>
      </c>
      <c r="C27" s="33" t="str">
        <f>'Municípios RJ'!N17</f>
        <v>sim</v>
      </c>
      <c r="D27" s="34">
        <f>IF($B27="",'Municípios RJ'!P17,"")</f>
        <v>2333.8349519903982</v>
      </c>
      <c r="E27" s="34" t="str">
        <f>IF($C27="não",'Municípios RJ'!P17,"")</f>
        <v/>
      </c>
      <c r="F27" s="34" t="str">
        <f>IF(AND($B27="",$C27="não"),'Municípios RJ'!P17,"")</f>
        <v/>
      </c>
      <c r="G27" s="35">
        <f>IF($B27="",'Municípios RJ'!Q17,"")</f>
        <v>0.29608509660782395</v>
      </c>
      <c r="H27" s="35" t="str">
        <f>IF($C27="não",'Municípios RJ'!Q17,"")</f>
        <v/>
      </c>
      <c r="I27" s="35" t="str">
        <f>IF(AND($B27="",$C27="não"),'Municípios RJ'!Q17,"")</f>
        <v/>
      </c>
      <c r="J27" s="35">
        <f>IF($B27="",'Municípios RJ'!V17,"")</f>
        <v>0.55007361831872226</v>
      </c>
      <c r="K27" s="35" t="str">
        <f>IF($C27="não",'Municípios RJ'!V17,"")</f>
        <v/>
      </c>
      <c r="L27" s="35" t="str">
        <f>IF(AND($B27="",$C27="não"),'Municípios RJ'!V17,"")</f>
        <v/>
      </c>
      <c r="M27" s="35">
        <f>IF($B27="",'Municípios RJ'!S17,"")</f>
        <v>0.9875852732711129</v>
      </c>
      <c r="N27" s="35" t="str">
        <f>IF($C27="não",'Municípios RJ'!S17,"")</f>
        <v/>
      </c>
      <c r="O27" s="35" t="str">
        <f>IF(AND($B27="",$C27="não"),'Municípios RJ'!S17,"")</f>
        <v/>
      </c>
    </row>
    <row r="28" spans="1:15" x14ac:dyDescent="0.25">
      <c r="A28" s="33" t="str">
        <f>'Municípios RJ'!A18</f>
        <v>Carapebus</v>
      </c>
      <c r="B28" s="33" t="str">
        <f>'Municípios RJ'!O18&amp;""</f>
        <v/>
      </c>
      <c r="C28" s="33" t="str">
        <f>'Municípios RJ'!N18</f>
        <v>não</v>
      </c>
      <c r="D28" s="34">
        <f>IF($B28="",'Municípios RJ'!P18,"")</f>
        <v>6391.0758108202435</v>
      </c>
      <c r="E28" s="34">
        <f>IF($C28="não",'Municípios RJ'!P18,"")</f>
        <v>6391.0758108202435</v>
      </c>
      <c r="F28" s="34">
        <f>IF(AND($B28="",$C28="não"),'Municípios RJ'!P18,"")</f>
        <v>6391.0758108202435</v>
      </c>
      <c r="G28" s="35">
        <f>IF($B28="",'Municípios RJ'!Q18,"")</f>
        <v>0.34528015982960319</v>
      </c>
      <c r="H28" s="35">
        <f>IF($C28="não",'Municípios RJ'!Q18,"")</f>
        <v>0.34528015982960319</v>
      </c>
      <c r="I28" s="35">
        <f>IF(AND($B28="",$C28="não"),'Municípios RJ'!Q18,"")</f>
        <v>0.34528015982960319</v>
      </c>
      <c r="J28" s="35">
        <f>IF($B28="",'Municípios RJ'!V18,"")</f>
        <v>0.44572289188042619</v>
      </c>
      <c r="K28" s="35">
        <f>IF($C28="não",'Municípios RJ'!V18,"")</f>
        <v>0.44572289188042619</v>
      </c>
      <c r="L28" s="35">
        <f>IF(AND($B28="",$C28="não"),'Municípios RJ'!V18,"")</f>
        <v>0.44572289188042619</v>
      </c>
      <c r="M28" s="35">
        <f>IF($B28="",'Municípios RJ'!S18,"")</f>
        <v>1.1543701937292674</v>
      </c>
      <c r="N28" s="35">
        <f>IF($C28="não",'Municípios RJ'!S18,"")</f>
        <v>1.1543701937292674</v>
      </c>
      <c r="O28" s="35">
        <f>IF(AND($B28="",$C28="não"),'Municípios RJ'!S18,"")</f>
        <v>1.1543701937292674</v>
      </c>
    </row>
    <row r="29" spans="1:15" x14ac:dyDescent="0.25">
      <c r="A29" s="33" t="str">
        <f>'Municípios RJ'!A19</f>
        <v>Cardoso Moreira</v>
      </c>
      <c r="B29" s="33" t="str">
        <f>'Municípios RJ'!O19&amp;""</f>
        <v/>
      </c>
      <c r="C29" s="33" t="str">
        <f>'Municípios RJ'!N19</f>
        <v>não</v>
      </c>
      <c r="D29" s="34">
        <f>IF($B29="",'Municípios RJ'!P19,"")</f>
        <v>2689.0999634410209</v>
      </c>
      <c r="E29" s="34">
        <f>IF($C29="não",'Municípios RJ'!P19,"")</f>
        <v>2689.0999634410209</v>
      </c>
      <c r="F29" s="34">
        <f>IF(AND($B29="",$C29="não"),'Municípios RJ'!P19,"")</f>
        <v>2689.0999634410209</v>
      </c>
      <c r="G29" s="35">
        <f>IF($B29="",'Municípios RJ'!Q19,"")</f>
        <v>0.31077909911682017</v>
      </c>
      <c r="H29" s="35">
        <f>IF($C29="não",'Municípios RJ'!Q19,"")</f>
        <v>0.31077909911682017</v>
      </c>
      <c r="I29" s="35">
        <f>IF(AND($B29="",$C29="não"),'Municípios RJ'!Q19,"")</f>
        <v>0.31077909911682017</v>
      </c>
      <c r="J29" s="35">
        <f>IF($B29="",'Municípios RJ'!V19,"")</f>
        <v>0.49609226298166431</v>
      </c>
      <c r="K29" s="35">
        <f>IF($C29="não",'Municípios RJ'!V19,"")</f>
        <v>0.49609226298166431</v>
      </c>
      <c r="L29" s="35">
        <f>IF(AND($B29="",$C29="não"),'Municípios RJ'!V19,"")</f>
        <v>0.49609226298166431</v>
      </c>
      <c r="M29" s="35">
        <f>IF($B29="",'Municípios RJ'!S19,"")</f>
        <v>0.89095004954835932</v>
      </c>
      <c r="N29" s="35">
        <f>IF($C29="não",'Municípios RJ'!S19,"")</f>
        <v>0.89095004954835932</v>
      </c>
      <c r="O29" s="35">
        <f>IF(AND($B29="",$C29="não"),'Municípios RJ'!S19,"")</f>
        <v>0.89095004954835932</v>
      </c>
    </row>
    <row r="30" spans="1:15" x14ac:dyDescent="0.25">
      <c r="A30" s="33" t="str">
        <f>'Municípios RJ'!A20</f>
        <v>Carmo</v>
      </c>
      <c r="B30" s="33" t="str">
        <f>'Municípios RJ'!O20&amp;""</f>
        <v/>
      </c>
      <c r="C30" s="33" t="str">
        <f>'Municípios RJ'!N20</f>
        <v>não</v>
      </c>
      <c r="D30" s="34">
        <f>IF($B30="",'Municípios RJ'!P20,"")</f>
        <v>2505.9450789177004</v>
      </c>
      <c r="E30" s="34">
        <f>IF($C30="não",'Municípios RJ'!P20,"")</f>
        <v>2505.9450789177004</v>
      </c>
      <c r="F30" s="34">
        <f>IF(AND($B30="",$C30="não"),'Municípios RJ'!P20,"")</f>
        <v>2505.9450789177004</v>
      </c>
      <c r="G30" s="35">
        <f>IF($B30="",'Municípios RJ'!Q20,"")</f>
        <v>0.32951317593025986</v>
      </c>
      <c r="H30" s="35">
        <f>IF($C30="não",'Municípios RJ'!Q20,"")</f>
        <v>0.32951317593025986</v>
      </c>
      <c r="I30" s="35">
        <f>IF(AND($B30="",$C30="não"),'Municípios RJ'!Q20,"")</f>
        <v>0.32951317593025986</v>
      </c>
      <c r="J30" s="35">
        <f>IF($B30="",'Municípios RJ'!V20,"")</f>
        <v>0.47475808974306249</v>
      </c>
      <c r="K30" s="35">
        <f>IF($C30="não",'Municípios RJ'!V20,"")</f>
        <v>0.47475808974306249</v>
      </c>
      <c r="L30" s="35">
        <f>IF(AND($B30="",$C30="não"),'Municípios RJ'!V20,"")</f>
        <v>0.47475808974306249</v>
      </c>
      <c r="M30" s="35">
        <f>IF($B30="",'Municípios RJ'!S20,"")</f>
        <v>0.89908744249398476</v>
      </c>
      <c r="N30" s="35">
        <f>IF($C30="não",'Municípios RJ'!S20,"")</f>
        <v>0.89908744249398476</v>
      </c>
      <c r="O30" s="35">
        <f>IF(AND($B30="",$C30="não"),'Municípios RJ'!S20,"")</f>
        <v>0.89908744249398476</v>
      </c>
    </row>
    <row r="31" spans="1:15" x14ac:dyDescent="0.25">
      <c r="A31" s="33" t="str">
        <f>'Municípios RJ'!A21</f>
        <v>Casimiro de Abreu</v>
      </c>
      <c r="B31" s="33" t="str">
        <f>'Municípios RJ'!O21&amp;""</f>
        <v/>
      </c>
      <c r="C31" s="33" t="str">
        <f>'Municípios RJ'!N21</f>
        <v>não</v>
      </c>
      <c r="D31" s="34">
        <f>IF($B31="",'Municípios RJ'!P21,"")</f>
        <v>2608.9824798715072</v>
      </c>
      <c r="E31" s="34">
        <f>IF($C31="não",'Municípios RJ'!P21,"")</f>
        <v>2608.9824798715072</v>
      </c>
      <c r="F31" s="34">
        <f>IF(AND($B31="",$C31="não"),'Municípios RJ'!P21,"")</f>
        <v>2608.9824798715072</v>
      </c>
      <c r="G31" s="35">
        <f>IF($B31="",'Municípios RJ'!Q21,"")</f>
        <v>0.21186478459319447</v>
      </c>
      <c r="H31" s="35">
        <f>IF($C31="não",'Municípios RJ'!Q21,"")</f>
        <v>0.21186478459319447</v>
      </c>
      <c r="I31" s="35">
        <f>IF(AND($B31="",$C31="não"),'Municípios RJ'!Q21,"")</f>
        <v>0.21186478459319447</v>
      </c>
      <c r="J31" s="35">
        <f>IF($B31="",'Municípios RJ'!V21,"")</f>
        <v>0.45591229453052812</v>
      </c>
      <c r="K31" s="35">
        <f>IF($C31="não",'Municípios RJ'!V21,"")</f>
        <v>0.45591229453052812</v>
      </c>
      <c r="L31" s="35">
        <f>IF(AND($B31="",$C31="não"),'Municípios RJ'!V21,"")</f>
        <v>0.45591229453052812</v>
      </c>
      <c r="M31" s="35">
        <f>IF($B31="",'Municípios RJ'!S21,"")</f>
        <v>1.0533228840249731</v>
      </c>
      <c r="N31" s="35">
        <f>IF($C31="não",'Municípios RJ'!S21,"")</f>
        <v>1.0533228840249731</v>
      </c>
      <c r="O31" s="35">
        <f>IF(AND($B31="",$C31="não"),'Municípios RJ'!S21,"")</f>
        <v>1.0533228840249731</v>
      </c>
    </row>
    <row r="32" spans="1:15" x14ac:dyDescent="0.25">
      <c r="A32" s="33" t="str">
        <f>'Municípios RJ'!A22</f>
        <v>Comendador Levy Gasparian</v>
      </c>
      <c r="B32" s="33" t="str">
        <f>'Municípios RJ'!O22&amp;""</f>
        <v/>
      </c>
      <c r="C32" s="33" t="str">
        <f>'Municípios RJ'!N22</f>
        <v>não</v>
      </c>
      <c r="D32" s="34">
        <f>IF($B32="",'Municípios RJ'!P22,"")</f>
        <v>2845.0777521008404</v>
      </c>
      <c r="E32" s="34">
        <f>IF($C32="não",'Municípios RJ'!P22,"")</f>
        <v>2845.0777521008404</v>
      </c>
      <c r="F32" s="34">
        <f>IF(AND($B32="",$C32="não"),'Municípios RJ'!P22,"")</f>
        <v>2845.0777521008404</v>
      </c>
      <c r="G32" s="35">
        <f>IF($B32="",'Municípios RJ'!Q22,"")</f>
        <v>0.25794382632679597</v>
      </c>
      <c r="H32" s="35">
        <f>IF($C32="não",'Municípios RJ'!Q22,"")</f>
        <v>0.25794382632679597</v>
      </c>
      <c r="I32" s="35">
        <f>IF(AND($B32="",$C32="não"),'Municípios RJ'!Q22,"")</f>
        <v>0.25794382632679597</v>
      </c>
      <c r="J32" s="35">
        <f>IF($B32="",'Municípios RJ'!V22,"")</f>
        <v>0.50580005994783228</v>
      </c>
      <c r="K32" s="35">
        <f>IF($C32="não",'Municípios RJ'!V22,"")</f>
        <v>0.50580005994783228</v>
      </c>
      <c r="L32" s="35">
        <f>IF(AND($B32="",$C32="não"),'Municípios RJ'!V22,"")</f>
        <v>0.50580005994783228</v>
      </c>
      <c r="M32" s="35">
        <f>IF($B32="",'Municípios RJ'!S22,"")</f>
        <v>1.131654767898356</v>
      </c>
      <c r="N32" s="35">
        <f>IF($C32="não",'Municípios RJ'!S22,"")</f>
        <v>1.131654767898356</v>
      </c>
      <c r="O32" s="35">
        <f>IF(AND($B32="",$C32="não"),'Municípios RJ'!S22,"")</f>
        <v>1.131654767898356</v>
      </c>
    </row>
    <row r="33" spans="1:15" x14ac:dyDescent="0.25">
      <c r="A33" s="33" t="str">
        <f>'Municípios RJ'!A23</f>
        <v>Conceição de Macabu</v>
      </c>
      <c r="B33" s="33" t="str">
        <f>'Municípios RJ'!O23&amp;""</f>
        <v/>
      </c>
      <c r="C33" s="33" t="str">
        <f>'Municípios RJ'!N23</f>
        <v>não</v>
      </c>
      <c r="D33" s="34">
        <f>IF($B33="",'Municípios RJ'!P23,"")</f>
        <v>1868.2020703753042</v>
      </c>
      <c r="E33" s="34">
        <f>IF($C33="não",'Municípios RJ'!P23,"")</f>
        <v>1868.2020703753042</v>
      </c>
      <c r="F33" s="34">
        <f>IF(AND($B33="",$C33="não"),'Municípios RJ'!P23,"")</f>
        <v>1868.2020703753042</v>
      </c>
      <c r="G33" s="35">
        <f>IF($B33="",'Municípios RJ'!Q23,"")</f>
        <v>0.28365064748153052</v>
      </c>
      <c r="H33" s="35">
        <f>IF($C33="não",'Municípios RJ'!Q23,"")</f>
        <v>0.28365064748153052</v>
      </c>
      <c r="I33" s="35">
        <f>IF(AND($B33="",$C33="não"),'Municípios RJ'!Q23,"")</f>
        <v>0.28365064748153052</v>
      </c>
      <c r="J33" s="35">
        <f>IF($B33="",'Municípios RJ'!V23,"")</f>
        <v>0.46413418221699237</v>
      </c>
      <c r="K33" s="35">
        <f>IF($C33="não",'Municípios RJ'!V23,"")</f>
        <v>0.46413418221699237</v>
      </c>
      <c r="L33" s="35">
        <f>IF(AND($B33="",$C33="não"),'Municípios RJ'!V23,"")</f>
        <v>0.46413418221699237</v>
      </c>
      <c r="M33" s="35">
        <f>IF($B33="",'Municípios RJ'!S23,"")</f>
        <v>1.0066023266506303</v>
      </c>
      <c r="N33" s="35">
        <f>IF($C33="não",'Municípios RJ'!S23,"")</f>
        <v>1.0066023266506303</v>
      </c>
      <c r="O33" s="35">
        <f>IF(AND($B33="",$C33="não"),'Municípios RJ'!S23,"")</f>
        <v>1.0066023266506303</v>
      </c>
    </row>
    <row r="34" spans="1:15" x14ac:dyDescent="0.25">
      <c r="A34" s="33" t="str">
        <f>'Municípios RJ'!A24</f>
        <v>Cordeiro</v>
      </c>
      <c r="B34" s="33" t="str">
        <f>'Municípios RJ'!O24&amp;""</f>
        <v/>
      </c>
      <c r="C34" s="33" t="str">
        <f>'Municípios RJ'!N24</f>
        <v>não</v>
      </c>
      <c r="D34" s="34">
        <f>IF($B34="",'Municípios RJ'!P24,"")</f>
        <v>2206.8646968849098</v>
      </c>
      <c r="E34" s="34">
        <f>IF($C34="não",'Municípios RJ'!P24,"")</f>
        <v>2206.8646968849098</v>
      </c>
      <c r="F34" s="34">
        <f>IF(AND($B34="",$C34="não"),'Municípios RJ'!P24,"")</f>
        <v>2206.8646968849098</v>
      </c>
      <c r="G34" s="35">
        <f>IF($B34="",'Municípios RJ'!Q24,"")</f>
        <v>0.30133927070897604</v>
      </c>
      <c r="H34" s="35">
        <f>IF($C34="não",'Municípios RJ'!Q24,"")</f>
        <v>0.30133927070897604</v>
      </c>
      <c r="I34" s="35">
        <f>IF(AND($B34="",$C34="não"),'Municípios RJ'!Q24,"")</f>
        <v>0.30133927070897604</v>
      </c>
      <c r="J34" s="35">
        <f>IF($B34="",'Municípios RJ'!V24,"")</f>
        <v>0.47043872655599833</v>
      </c>
      <c r="K34" s="35">
        <f>IF($C34="não",'Municípios RJ'!V24,"")</f>
        <v>0.47043872655599833</v>
      </c>
      <c r="L34" s="35">
        <f>IF(AND($B34="",$C34="não"),'Municípios RJ'!V24,"")</f>
        <v>0.47043872655599833</v>
      </c>
      <c r="M34" s="35">
        <f>IF($B34="",'Municípios RJ'!S24,"")</f>
        <v>1.0565449143397572</v>
      </c>
      <c r="N34" s="35">
        <f>IF($C34="não",'Municípios RJ'!S24,"")</f>
        <v>1.0565449143397572</v>
      </c>
      <c r="O34" s="35">
        <f>IF(AND($B34="",$C34="não"),'Municípios RJ'!S24,"")</f>
        <v>1.0565449143397572</v>
      </c>
    </row>
    <row r="35" spans="1:15" x14ac:dyDescent="0.25">
      <c r="A35" s="33" t="str">
        <f>'Municípios RJ'!A25</f>
        <v>Duas Barras</v>
      </c>
      <c r="B35" s="33" t="str">
        <f>'Municípios RJ'!O25&amp;""</f>
        <v/>
      </c>
      <c r="C35" s="33" t="str">
        <f>'Municípios RJ'!N25</f>
        <v>não</v>
      </c>
      <c r="D35" s="34">
        <f>IF($B35="",'Municípios RJ'!P25,"")</f>
        <v>2259.0155046679583</v>
      </c>
      <c r="E35" s="34">
        <f>IF($C35="não",'Municípios RJ'!P25,"")</f>
        <v>2259.0155046679583</v>
      </c>
      <c r="F35" s="34">
        <f>IF(AND($B35="",$C35="não"),'Municípios RJ'!P25,"")</f>
        <v>2259.0155046679583</v>
      </c>
      <c r="G35" s="35">
        <f>IF($B35="",'Municípios RJ'!Q25,"")</f>
        <v>0.26480345407456951</v>
      </c>
      <c r="H35" s="35">
        <f>IF($C35="não",'Municípios RJ'!Q25,"")</f>
        <v>0.26480345407456951</v>
      </c>
      <c r="I35" s="35">
        <f>IF(AND($B35="",$C35="não"),'Municípios RJ'!Q25,"")</f>
        <v>0.26480345407456951</v>
      </c>
      <c r="J35" s="35">
        <f>IF($B35="",'Municípios RJ'!V25,"")</f>
        <v>0.44383591238866937</v>
      </c>
      <c r="K35" s="35">
        <f>IF($C35="não",'Municípios RJ'!V25,"")</f>
        <v>0.44383591238866937</v>
      </c>
      <c r="L35" s="35">
        <f>IF(AND($B35="",$C35="não"),'Municípios RJ'!V25,"")</f>
        <v>0.44383591238866937</v>
      </c>
      <c r="M35" s="35">
        <f>IF($B35="",'Municípios RJ'!S25,"")</f>
        <v>1.0007332643262057</v>
      </c>
      <c r="N35" s="35">
        <f>IF($C35="não",'Municípios RJ'!S25,"")</f>
        <v>1.0007332643262057</v>
      </c>
      <c r="O35" s="35">
        <f>IF(AND($B35="",$C35="não"),'Municípios RJ'!S25,"")</f>
        <v>1.0007332643262057</v>
      </c>
    </row>
    <row r="36" spans="1:15" x14ac:dyDescent="0.25">
      <c r="A36" s="33" t="str">
        <f>'Municípios RJ'!A26</f>
        <v>Duque de Caxias</v>
      </c>
      <c r="B36" s="33" t="str">
        <f>'Municípios RJ'!O26&amp;""</f>
        <v/>
      </c>
      <c r="C36" s="33" t="str">
        <f>'Municípios RJ'!N26</f>
        <v>não</v>
      </c>
      <c r="D36" s="34">
        <f>IF($B36="",'Municípios RJ'!P26,"")</f>
        <v>2165.9681646037902</v>
      </c>
      <c r="E36" s="34">
        <f>IF($C36="não",'Municípios RJ'!P26,"")</f>
        <v>2165.9681646037902</v>
      </c>
      <c r="F36" s="34">
        <f>IF(AND($B36="",$C36="não"),'Municípios RJ'!P26,"")</f>
        <v>2165.9681646037902</v>
      </c>
      <c r="G36" s="35">
        <f>IF($B36="",'Municípios RJ'!Q26,"")</f>
        <v>0.37164084724149626</v>
      </c>
      <c r="H36" s="35">
        <f>IF($C36="não",'Municípios RJ'!Q26,"")</f>
        <v>0.37164084724149626</v>
      </c>
      <c r="I36" s="35">
        <f>IF(AND($B36="",$C36="não"),'Municípios RJ'!Q26,"")</f>
        <v>0.37164084724149626</v>
      </c>
      <c r="J36" s="35">
        <f>IF($B36="",'Municípios RJ'!V26,"")</f>
        <v>0.33701779594904435</v>
      </c>
      <c r="K36" s="35">
        <f>IF($C36="não",'Municípios RJ'!V26,"")</f>
        <v>0.33701779594904435</v>
      </c>
      <c r="L36" s="35">
        <f>IF(AND($B36="",$C36="não"),'Municípios RJ'!V26,"")</f>
        <v>0.33701779594904435</v>
      </c>
      <c r="M36" s="35">
        <f>IF($B36="",'Municípios RJ'!S26,"")</f>
        <v>0.96736317138339456</v>
      </c>
      <c r="N36" s="35">
        <f>IF($C36="não",'Municípios RJ'!S26,"")</f>
        <v>0.96736317138339456</v>
      </c>
      <c r="O36" s="35">
        <f>IF(AND($B36="",$C36="não"),'Municípios RJ'!S26,"")</f>
        <v>0.96736317138339456</v>
      </c>
    </row>
    <row r="37" spans="1:15" x14ac:dyDescent="0.25">
      <c r="A37" s="33" t="str">
        <f>'Municípios RJ'!A27</f>
        <v>Engenheiro Paulo de Frontin</v>
      </c>
      <c r="B37" s="33" t="str">
        <f>'Municípios RJ'!O27&amp;""</f>
        <v/>
      </c>
      <c r="C37" s="33" t="str">
        <f>'Municípios RJ'!N27</f>
        <v>não</v>
      </c>
      <c r="D37" s="34">
        <f>IF($B37="",'Municípios RJ'!P27,"")</f>
        <v>3053.6556506957622</v>
      </c>
      <c r="E37" s="34">
        <f>IF($C37="não",'Municípios RJ'!P27,"")</f>
        <v>3053.6556506957622</v>
      </c>
      <c r="F37" s="34">
        <f>IF(AND($B37="",$C37="não"),'Municípios RJ'!P27,"")</f>
        <v>3053.6556506957622</v>
      </c>
      <c r="G37" s="35">
        <f>IF($B37="",'Municípios RJ'!Q27,"")</f>
        <v>0.30744737875556372</v>
      </c>
      <c r="H37" s="35">
        <f>IF($C37="não",'Municípios RJ'!Q27,"")</f>
        <v>0.30744737875556372</v>
      </c>
      <c r="I37" s="35">
        <f>IF(AND($B37="",$C37="não"),'Municípios RJ'!Q27,"")</f>
        <v>0.30744737875556372</v>
      </c>
      <c r="J37" s="35">
        <f>IF($B37="",'Municípios RJ'!V27,"")</f>
        <v>0.63659965649413919</v>
      </c>
      <c r="K37" s="35">
        <f>IF($C37="não",'Municípios RJ'!V27,"")</f>
        <v>0.63659965649413919</v>
      </c>
      <c r="L37" s="35">
        <f>IF(AND($B37="",$C37="não"),'Municípios RJ'!V27,"")</f>
        <v>0.63659965649413919</v>
      </c>
      <c r="M37" s="35">
        <f>IF($B37="",'Municípios RJ'!S27,"")</f>
        <v>1.1737274339606605</v>
      </c>
      <c r="N37" s="35">
        <f>IF($C37="não",'Municípios RJ'!S27,"")</f>
        <v>1.1737274339606605</v>
      </c>
      <c r="O37" s="35">
        <f>IF(AND($B37="",$C37="não"),'Municípios RJ'!S27,"")</f>
        <v>1.1737274339606605</v>
      </c>
    </row>
    <row r="38" spans="1:15" x14ac:dyDescent="0.25">
      <c r="A38" s="33" t="str">
        <f>'Municípios RJ'!A28</f>
        <v>Guapimirim</v>
      </c>
      <c r="B38" s="33" t="str">
        <f>'Municípios RJ'!O28&amp;""</f>
        <v/>
      </c>
      <c r="C38" s="33" t="str">
        <f>'Municípios RJ'!N28</f>
        <v>não</v>
      </c>
      <c r="D38" s="34">
        <f>IF($B38="",'Municípios RJ'!P28,"")</f>
        <v>2417.5136716390425</v>
      </c>
      <c r="E38" s="34">
        <f>IF($C38="não",'Municípios RJ'!P28,"")</f>
        <v>2417.5136716390425</v>
      </c>
      <c r="F38" s="34">
        <f>IF(AND($B38="",$C38="não"),'Municípios RJ'!P28,"")</f>
        <v>2417.5136716390425</v>
      </c>
      <c r="G38" s="35">
        <f>IF($B38="",'Municípios RJ'!Q28,"")</f>
        <v>0.25882319672802101</v>
      </c>
      <c r="H38" s="35">
        <f>IF($C38="não",'Municípios RJ'!Q28,"")</f>
        <v>0.25882319672802101</v>
      </c>
      <c r="I38" s="35">
        <f>IF(AND($B38="",$C38="não"),'Municípios RJ'!Q28,"")</f>
        <v>0.25882319672802101</v>
      </c>
      <c r="J38" s="35">
        <f>IF($B38="",'Municípios RJ'!V28,"")</f>
        <v>0.44328090763907729</v>
      </c>
      <c r="K38" s="35">
        <f>IF($C38="não",'Municípios RJ'!V28,"")</f>
        <v>0.44328090763907729</v>
      </c>
      <c r="L38" s="35">
        <f>IF(AND($B38="",$C38="não"),'Municípios RJ'!V28,"")</f>
        <v>0.44328090763907729</v>
      </c>
      <c r="M38" s="35">
        <f>IF($B38="",'Municípios RJ'!S28,"")</f>
        <v>1.1019122719371255</v>
      </c>
      <c r="N38" s="35">
        <f>IF($C38="não",'Municípios RJ'!S28,"")</f>
        <v>1.1019122719371255</v>
      </c>
      <c r="O38" s="35">
        <f>IF(AND($B38="",$C38="não"),'Municípios RJ'!S28,"")</f>
        <v>1.1019122719371255</v>
      </c>
    </row>
    <row r="39" spans="1:15" x14ac:dyDescent="0.25">
      <c r="A39" s="33" t="str">
        <f>'Municípios RJ'!A29</f>
        <v>Iguaba Grande</v>
      </c>
      <c r="B39" s="33" t="str">
        <f>'Municípios RJ'!O29&amp;""</f>
        <v/>
      </c>
      <c r="C39" s="33" t="str">
        <f>'Municípios RJ'!N29</f>
        <v>não</v>
      </c>
      <c r="D39" s="34">
        <f>IF($B39="",'Municípios RJ'!P29,"")</f>
        <v>3100.627217432464</v>
      </c>
      <c r="E39" s="34">
        <f>IF($C39="não",'Municípios RJ'!P29,"")</f>
        <v>3100.627217432464</v>
      </c>
      <c r="F39" s="34">
        <f>IF(AND($B39="",$C39="não"),'Municípios RJ'!P29,"")</f>
        <v>3100.627217432464</v>
      </c>
      <c r="G39" s="35">
        <f>IF($B39="",'Municípios RJ'!Q29,"")</f>
        <v>0.22810458819057575</v>
      </c>
      <c r="H39" s="35">
        <f>IF($C39="não",'Municípios RJ'!Q29,"")</f>
        <v>0.22810458819057575</v>
      </c>
      <c r="I39" s="35">
        <f>IF(AND($B39="",$C39="não"),'Municípios RJ'!Q29,"")</f>
        <v>0.22810458819057575</v>
      </c>
      <c r="J39" s="35">
        <f>IF($B39="",'Municípios RJ'!V29,"")</f>
        <v>0.37372407212751318</v>
      </c>
      <c r="K39" s="35">
        <f>IF($C39="não",'Municípios RJ'!V29,"")</f>
        <v>0.37372407212751318</v>
      </c>
      <c r="L39" s="35">
        <f>IF(AND($B39="",$C39="não"),'Municípios RJ'!V29,"")</f>
        <v>0.37372407212751318</v>
      </c>
      <c r="M39" s="35">
        <f>IF($B39="",'Municípios RJ'!S29,"")</f>
        <v>0.9900301116542688</v>
      </c>
      <c r="N39" s="35">
        <f>IF($C39="não",'Municípios RJ'!S29,"")</f>
        <v>0.9900301116542688</v>
      </c>
      <c r="O39" s="35">
        <f>IF(AND($B39="",$C39="não"),'Municípios RJ'!S29,"")</f>
        <v>0.9900301116542688</v>
      </c>
    </row>
    <row r="40" spans="1:15" x14ac:dyDescent="0.25">
      <c r="A40" s="33" t="str">
        <f>'Municípios RJ'!A30</f>
        <v>Itaboraí</v>
      </c>
      <c r="B40" s="33" t="str">
        <f>'Municípios RJ'!O30&amp;""</f>
        <v/>
      </c>
      <c r="C40" s="33" t="str">
        <f>'Municípios RJ'!N30</f>
        <v>não</v>
      </c>
      <c r="D40" s="34">
        <f>IF($B40="",'Municípios RJ'!P30,"")</f>
        <v>1136.944017455424</v>
      </c>
      <c r="E40" s="34">
        <f>IF($C40="não",'Municípios RJ'!P30,"")</f>
        <v>1136.944017455424</v>
      </c>
      <c r="F40" s="34">
        <f>IF(AND($B40="",$C40="não"),'Municípios RJ'!P30,"")</f>
        <v>1136.944017455424</v>
      </c>
      <c r="G40" s="35">
        <f>IF($B40="",'Municípios RJ'!Q30,"")</f>
        <v>0.23062377747754445</v>
      </c>
      <c r="H40" s="35">
        <f>IF($C40="não",'Municípios RJ'!Q30,"")</f>
        <v>0.23062377747754445</v>
      </c>
      <c r="I40" s="35">
        <f>IF(AND($B40="",$C40="não"),'Municípios RJ'!Q30,"")</f>
        <v>0.23062377747754445</v>
      </c>
      <c r="J40" s="35">
        <f>IF($B40="",'Municípios RJ'!V30,"")</f>
        <v>0.44192863663530224</v>
      </c>
      <c r="K40" s="35">
        <f>IF($C40="não",'Municípios RJ'!V30,"")</f>
        <v>0.44192863663530224</v>
      </c>
      <c r="L40" s="35">
        <f>IF(AND($B40="",$C40="não"),'Municípios RJ'!V30,"")</f>
        <v>0.44192863663530224</v>
      </c>
      <c r="M40" s="35">
        <f>IF($B40="",'Municípios RJ'!S30,"")</f>
        <v>1.1581535716290425</v>
      </c>
      <c r="N40" s="35">
        <f>IF($C40="não",'Municípios RJ'!S30,"")</f>
        <v>1.1581535716290425</v>
      </c>
      <c r="O40" s="35">
        <f>IF(AND($B40="",$C40="não"),'Municípios RJ'!S30,"")</f>
        <v>1.1581535716290425</v>
      </c>
    </row>
    <row r="41" spans="1:15" x14ac:dyDescent="0.25">
      <c r="A41" s="33" t="str">
        <f>'Municípios RJ'!A31</f>
        <v>Itaguaí</v>
      </c>
      <c r="B41" s="33" t="str">
        <f>'Municípios RJ'!O31&amp;""</f>
        <v/>
      </c>
      <c r="C41" s="33" t="str">
        <f>'Municípios RJ'!N31</f>
        <v>não</v>
      </c>
      <c r="D41" s="34">
        <f>IF($B41="",'Municípios RJ'!P31,"")</f>
        <v>2497.2612907727053</v>
      </c>
      <c r="E41" s="34">
        <f>IF($C41="não",'Municípios RJ'!P31,"")</f>
        <v>2497.2612907727053</v>
      </c>
      <c r="F41" s="34">
        <f>IF(AND($B41="",$C41="não"),'Municípios RJ'!P31,"")</f>
        <v>2497.2612907727053</v>
      </c>
      <c r="G41" s="35">
        <f>IF($B41="",'Municípios RJ'!Q31,"")</f>
        <v>0.28866105812153375</v>
      </c>
      <c r="H41" s="35">
        <f>IF($C41="não",'Municípios RJ'!Q31,"")</f>
        <v>0.28866105812153375</v>
      </c>
      <c r="I41" s="35">
        <f>IF(AND($B41="",$C41="não"),'Municípios RJ'!Q31,"")</f>
        <v>0.28866105812153375</v>
      </c>
      <c r="J41" s="35">
        <f>IF($B41="",'Municípios RJ'!V31,"")</f>
        <v>0.62860519806578741</v>
      </c>
      <c r="K41" s="35">
        <f>IF($C41="não",'Municípios RJ'!V31,"")</f>
        <v>0.62860519806578741</v>
      </c>
      <c r="L41" s="35">
        <f>IF(AND($B41="",$C41="não"),'Municípios RJ'!V31,"")</f>
        <v>0.62860519806578741</v>
      </c>
      <c r="M41" s="35">
        <f>IF($B41="",'Municípios RJ'!S31,"")</f>
        <v>1.033742174844879</v>
      </c>
      <c r="N41" s="35">
        <f>IF($C41="não",'Municípios RJ'!S31,"")</f>
        <v>1.033742174844879</v>
      </c>
      <c r="O41" s="35">
        <f>IF(AND($B41="",$C41="não"),'Municípios RJ'!S31,"")</f>
        <v>1.033742174844879</v>
      </c>
    </row>
    <row r="42" spans="1:15" x14ac:dyDescent="0.25">
      <c r="A42" s="33" t="str">
        <f>'Municípios RJ'!A32</f>
        <v>Italva</v>
      </c>
      <c r="B42" s="33" t="str">
        <f>'Municípios RJ'!O32&amp;""</f>
        <v/>
      </c>
      <c r="C42" s="33" t="str">
        <f>'Municípios RJ'!N32</f>
        <v>sim</v>
      </c>
      <c r="D42" s="34">
        <f>IF($B42="",'Municípios RJ'!P32,"")</f>
        <v>3325.5727354136529</v>
      </c>
      <c r="E42" s="34" t="str">
        <f>IF($C42="não",'Municípios RJ'!P32,"")</f>
        <v/>
      </c>
      <c r="F42" s="34" t="str">
        <f>IF(AND($B42="",$C42="não"),'Municípios RJ'!P32,"")</f>
        <v/>
      </c>
      <c r="G42" s="35">
        <f>IF($B42="",'Municípios RJ'!Q32,"")</f>
        <v>0.33996752771056576</v>
      </c>
      <c r="H42" s="35" t="str">
        <f>IF($C42="não",'Municípios RJ'!Q32,"")</f>
        <v/>
      </c>
      <c r="I42" s="35" t="str">
        <f>IF(AND($B42="",$C42="não"),'Municípios RJ'!Q32,"")</f>
        <v/>
      </c>
      <c r="J42" s="35">
        <f>IF($B42="",'Municípios RJ'!V32,"")</f>
        <v>0.5012182315962217</v>
      </c>
      <c r="K42" s="35" t="str">
        <f>IF($C42="não",'Municípios RJ'!V32,"")</f>
        <v/>
      </c>
      <c r="L42" s="35" t="str">
        <f>IF(AND($B42="",$C42="não"),'Municípios RJ'!V32,"")</f>
        <v/>
      </c>
      <c r="M42" s="35">
        <f>IF($B42="",'Municípios RJ'!S32,"")</f>
        <v>1.0788730947262262</v>
      </c>
      <c r="N42" s="35" t="str">
        <f>IF($C42="não",'Municípios RJ'!S32,"")</f>
        <v/>
      </c>
      <c r="O42" s="35" t="str">
        <f>IF(AND($B42="",$C42="não"),'Municípios RJ'!S32,"")</f>
        <v/>
      </c>
    </row>
    <row r="43" spans="1:15" x14ac:dyDescent="0.25">
      <c r="A43" s="33" t="str">
        <f>'Municípios RJ'!A33</f>
        <v>Itaocara</v>
      </c>
      <c r="B43" s="33" t="str">
        <f>'Municípios RJ'!O33&amp;""</f>
        <v/>
      </c>
      <c r="C43" s="33" t="str">
        <f>'Municípios RJ'!N33</f>
        <v>não</v>
      </c>
      <c r="D43" s="34">
        <f>IF($B43="",'Municípios RJ'!P33,"")</f>
        <v>1919.6541936302501</v>
      </c>
      <c r="E43" s="34">
        <f>IF($C43="não",'Municípios RJ'!P33,"")</f>
        <v>1919.6541936302501</v>
      </c>
      <c r="F43" s="34">
        <f>IF(AND($B43="",$C43="não"),'Municípios RJ'!P33,"")</f>
        <v>1919.6541936302501</v>
      </c>
      <c r="G43" s="35">
        <f>IF($B43="",'Municípios RJ'!Q33,"")</f>
        <v>0.30056787305805444</v>
      </c>
      <c r="H43" s="35">
        <f>IF($C43="não",'Municípios RJ'!Q33,"")</f>
        <v>0.30056787305805444</v>
      </c>
      <c r="I43" s="35">
        <f>IF(AND($B43="",$C43="não"),'Municípios RJ'!Q33,"")</f>
        <v>0.30056787305805444</v>
      </c>
      <c r="J43" s="35">
        <f>IF($B43="",'Municípios RJ'!V33,"")</f>
        <v>0.54878493501124315</v>
      </c>
      <c r="K43" s="35">
        <f>IF($C43="não",'Municípios RJ'!V33,"")</f>
        <v>0.54878493501124315</v>
      </c>
      <c r="L43" s="35">
        <f>IF(AND($B43="",$C43="não"),'Municípios RJ'!V33,"")</f>
        <v>0.54878493501124315</v>
      </c>
      <c r="M43" s="35">
        <f>IF($B43="",'Municípios RJ'!S33,"")</f>
        <v>1.0342503856841045</v>
      </c>
      <c r="N43" s="35">
        <f>IF($C43="não",'Municípios RJ'!S33,"")</f>
        <v>1.0342503856841045</v>
      </c>
      <c r="O43" s="35">
        <f>IF(AND($B43="",$C43="não"),'Municípios RJ'!S33,"")</f>
        <v>1.0342503856841045</v>
      </c>
    </row>
    <row r="44" spans="1:15" x14ac:dyDescent="0.25">
      <c r="A44" s="33" t="str">
        <f>'Municípios RJ'!A34</f>
        <v>Itaperuna</v>
      </c>
      <c r="B44" s="33" t="str">
        <f>'Municípios RJ'!O34&amp;""</f>
        <v>RCL atípica</v>
      </c>
      <c r="C44" s="33" t="str">
        <f>'Municípios RJ'!N34</f>
        <v>não</v>
      </c>
      <c r="D44" s="34" t="str">
        <f>IF($B44="",'Municípios RJ'!P34,"")</f>
        <v/>
      </c>
      <c r="E44" s="34">
        <f>IF($C44="não",'Municípios RJ'!P34,"")</f>
        <v>2817.6132553195457</v>
      </c>
      <c r="F44" s="34" t="str">
        <f>IF(AND($B44="",$C44="não"),'Municípios RJ'!P34,"")</f>
        <v/>
      </c>
      <c r="G44" s="35" t="str">
        <f>IF($B44="",'Municípios RJ'!Q34,"")</f>
        <v/>
      </c>
      <c r="H44" s="35">
        <f>IF($C44="não",'Municípios RJ'!Q34,"")</f>
        <v>0.46365876145342516</v>
      </c>
      <c r="I44" s="35" t="str">
        <f>IF(AND($B44="",$C44="não"),'Municípios RJ'!Q34,"")</f>
        <v/>
      </c>
      <c r="J44" s="35" t="str">
        <f>IF($B44="",'Municípios RJ'!V34,"")</f>
        <v/>
      </c>
      <c r="K44" s="35">
        <f>IF($C44="não",'Municípios RJ'!V34,"")</f>
        <v>1.4167155233773974</v>
      </c>
      <c r="L44" s="35" t="str">
        <f>IF(AND($B44="",$C44="não"),'Municípios RJ'!V34,"")</f>
        <v/>
      </c>
      <c r="M44" s="35" t="str">
        <f>IF($B44="",'Municípios RJ'!S34,"")</f>
        <v/>
      </c>
      <c r="N44" s="35">
        <f>IF($C44="não",'Municípios RJ'!S34,"")</f>
        <v>1.0840835005797271</v>
      </c>
      <c r="O44" s="35" t="str">
        <f>IF(AND($B44="",$C44="não"),'Municípios RJ'!S34,"")</f>
        <v/>
      </c>
    </row>
    <row r="45" spans="1:15" x14ac:dyDescent="0.25">
      <c r="A45" s="33" t="str">
        <f>'Municípios RJ'!A35</f>
        <v>Itatiaia</v>
      </c>
      <c r="B45" s="33" t="str">
        <f>'Municípios RJ'!O35&amp;""</f>
        <v/>
      </c>
      <c r="C45" s="33" t="str">
        <f>'Municípios RJ'!N35</f>
        <v>não</v>
      </c>
      <c r="D45" s="34">
        <f>IF($B45="",'Municípios RJ'!P35,"")</f>
        <v>3316.5381495075549</v>
      </c>
      <c r="E45" s="34">
        <f>IF($C45="não",'Municípios RJ'!P35,"")</f>
        <v>3316.5381495075549</v>
      </c>
      <c r="F45" s="34">
        <f>IF(AND($B45="",$C45="não"),'Municípios RJ'!P35,"")</f>
        <v>3316.5381495075549</v>
      </c>
      <c r="G45" s="35">
        <f>IF($B45="",'Municípios RJ'!Q35,"")</f>
        <v>0.28616725017941208</v>
      </c>
      <c r="H45" s="35">
        <f>IF($C45="não",'Municípios RJ'!Q35,"")</f>
        <v>0.28616725017941208</v>
      </c>
      <c r="I45" s="35">
        <f>IF(AND($B45="",$C45="não"),'Municípios RJ'!Q35,"")</f>
        <v>0.28616725017941208</v>
      </c>
      <c r="J45" s="35">
        <f>IF($B45="",'Municípios RJ'!V35,"")</f>
        <v>0.54965626861919725</v>
      </c>
      <c r="K45" s="35">
        <f>IF($C45="não",'Municípios RJ'!V35,"")</f>
        <v>0.54965626861919725</v>
      </c>
      <c r="L45" s="35">
        <f>IF(AND($B45="",$C45="não"),'Municípios RJ'!V35,"")</f>
        <v>0.54965626861919725</v>
      </c>
      <c r="M45" s="35">
        <f>IF($B45="",'Municípios RJ'!S35,"")</f>
        <v>1.0089525901047323</v>
      </c>
      <c r="N45" s="35">
        <f>IF($C45="não",'Municípios RJ'!S35,"")</f>
        <v>1.0089525901047323</v>
      </c>
      <c r="O45" s="35">
        <f>IF(AND($B45="",$C45="não"),'Municípios RJ'!S35,"")</f>
        <v>1.0089525901047323</v>
      </c>
    </row>
    <row r="46" spans="1:15" x14ac:dyDescent="0.25">
      <c r="A46" s="33" t="str">
        <f>'Municípios RJ'!A36</f>
        <v>Japeri</v>
      </c>
      <c r="B46" s="33" t="str">
        <f>'Municípios RJ'!O36&amp;""</f>
        <v/>
      </c>
      <c r="C46" s="33" t="str">
        <f>'Municípios RJ'!N36</f>
        <v>não</v>
      </c>
      <c r="D46" s="34">
        <f>IF($B46="",'Municípios RJ'!P36,"")</f>
        <v>1327.0029700731284</v>
      </c>
      <c r="E46" s="34">
        <f>IF($C46="não",'Municípios RJ'!P36,"")</f>
        <v>1327.0029700731284</v>
      </c>
      <c r="F46" s="34">
        <f>IF(AND($B46="",$C46="não"),'Municípios RJ'!P36,"")</f>
        <v>1327.0029700731284</v>
      </c>
      <c r="G46" s="35">
        <f>IF($B46="",'Municípios RJ'!Q36,"")</f>
        <v>0.31844585729754404</v>
      </c>
      <c r="H46" s="35">
        <f>IF($C46="não",'Municípios RJ'!Q36,"")</f>
        <v>0.31844585729754404</v>
      </c>
      <c r="I46" s="35">
        <f>IF(AND($B46="",$C46="não"),'Municípios RJ'!Q36,"")</f>
        <v>0.31844585729754404</v>
      </c>
      <c r="J46" s="35">
        <f>IF($B46="",'Municípios RJ'!V36,"")</f>
        <v>0.40805718475280073</v>
      </c>
      <c r="K46" s="35">
        <f>IF($C46="não",'Municípios RJ'!V36,"")</f>
        <v>0.40805718475280073</v>
      </c>
      <c r="L46" s="35">
        <f>IF(AND($B46="",$C46="não"),'Municípios RJ'!V36,"")</f>
        <v>0.40805718475280073</v>
      </c>
      <c r="M46" s="35">
        <f>IF($B46="",'Municípios RJ'!S36,"")</f>
        <v>1.0894746751127418</v>
      </c>
      <c r="N46" s="35">
        <f>IF($C46="não",'Municípios RJ'!S36,"")</f>
        <v>1.0894746751127418</v>
      </c>
      <c r="O46" s="35">
        <f>IF(AND($B46="",$C46="não"),'Municípios RJ'!S36,"")</f>
        <v>1.0894746751127418</v>
      </c>
    </row>
    <row r="47" spans="1:15" x14ac:dyDescent="0.25">
      <c r="A47" s="33" t="str">
        <f>'Municípios RJ'!A37</f>
        <v>Laje do Muriaé</v>
      </c>
      <c r="B47" s="33" t="str">
        <f>'Municípios RJ'!O37&amp;""</f>
        <v/>
      </c>
      <c r="C47" s="33" t="str">
        <f>'Municípios RJ'!N37</f>
        <v>não</v>
      </c>
      <c r="D47" s="34">
        <f>IF($B47="",'Municípios RJ'!P37,"")</f>
        <v>3283.9419145569623</v>
      </c>
      <c r="E47" s="34">
        <f>IF($C47="não",'Municípios RJ'!P37,"")</f>
        <v>3283.9419145569623</v>
      </c>
      <c r="F47" s="34">
        <f>IF(AND($B47="",$C47="não"),'Municípios RJ'!P37,"")</f>
        <v>3283.9419145569623</v>
      </c>
      <c r="G47" s="35">
        <f>IF($B47="",'Municípios RJ'!Q37,"")</f>
        <v>0.27351891888938068</v>
      </c>
      <c r="H47" s="35">
        <f>IF($C47="não",'Municípios RJ'!Q37,"")</f>
        <v>0.27351891888938068</v>
      </c>
      <c r="I47" s="35">
        <f>IF(AND($B47="",$C47="não"),'Municípios RJ'!Q37,"")</f>
        <v>0.27351891888938068</v>
      </c>
      <c r="J47" s="35">
        <f>IF($B47="",'Municípios RJ'!V37,"")</f>
        <v>0.46389301436158809</v>
      </c>
      <c r="K47" s="35">
        <f>IF($C47="não",'Municípios RJ'!V37,"")</f>
        <v>0.46389301436158809</v>
      </c>
      <c r="L47" s="35">
        <f>IF(AND($B47="",$C47="não"),'Municípios RJ'!V37,"")</f>
        <v>0.46389301436158809</v>
      </c>
      <c r="M47" s="35">
        <f>IF($B47="",'Municípios RJ'!S37,"")</f>
        <v>1.0136378544584619</v>
      </c>
      <c r="N47" s="35">
        <f>IF($C47="não",'Municípios RJ'!S37,"")</f>
        <v>1.0136378544584619</v>
      </c>
      <c r="O47" s="35">
        <f>IF(AND($B47="",$C47="não"),'Municípios RJ'!S37,"")</f>
        <v>1.0136378544584619</v>
      </c>
    </row>
    <row r="48" spans="1:15" x14ac:dyDescent="0.25">
      <c r="A48" s="33" t="str">
        <f>'Municípios RJ'!A38</f>
        <v>Macaé</v>
      </c>
      <c r="B48" s="33" t="str">
        <f>'Municípios RJ'!O38&amp;""</f>
        <v/>
      </c>
      <c r="C48" s="33" t="str">
        <f>'Municípios RJ'!N38</f>
        <v>não</v>
      </c>
      <c r="D48" s="34">
        <f>IF($B48="",'Municípios RJ'!P38,"")</f>
        <v>3745.1741544192805</v>
      </c>
      <c r="E48" s="34">
        <f>IF($C48="não",'Municípios RJ'!P38,"")</f>
        <v>3745.1741544192805</v>
      </c>
      <c r="F48" s="34">
        <f>IF(AND($B48="",$C48="não"),'Municípios RJ'!P38,"")</f>
        <v>3745.1741544192805</v>
      </c>
      <c r="G48" s="35">
        <f>IF($B48="",'Municípios RJ'!Q38,"")</f>
        <v>0.25182758376801256</v>
      </c>
      <c r="H48" s="35">
        <f>IF($C48="não",'Municípios RJ'!Q38,"")</f>
        <v>0.25182758376801256</v>
      </c>
      <c r="I48" s="35">
        <f>IF(AND($B48="",$C48="não"),'Municípios RJ'!Q38,"")</f>
        <v>0.25182758376801256</v>
      </c>
      <c r="J48" s="35">
        <f>IF($B48="",'Municípios RJ'!V38,"")</f>
        <v>0.39796836012818337</v>
      </c>
      <c r="K48" s="35">
        <f>IF($C48="não",'Municípios RJ'!V38,"")</f>
        <v>0.39796836012818337</v>
      </c>
      <c r="L48" s="35">
        <f>IF(AND($B48="",$C48="não"),'Municípios RJ'!V38,"")</f>
        <v>0.39796836012818337</v>
      </c>
      <c r="M48" s="35">
        <f>IF($B48="",'Municípios RJ'!S38,"")</f>
        <v>0.85422532097096693</v>
      </c>
      <c r="N48" s="35">
        <f>IF($C48="não",'Municípios RJ'!S38,"")</f>
        <v>0.85422532097096693</v>
      </c>
      <c r="O48" s="35">
        <f>IF(AND($B48="",$C48="não"),'Municípios RJ'!S38,"")</f>
        <v>0.85422532097096693</v>
      </c>
    </row>
    <row r="49" spans="1:15" x14ac:dyDescent="0.25">
      <c r="A49" s="33" t="str">
        <f>'Municípios RJ'!A39</f>
        <v>Macuco</v>
      </c>
      <c r="B49" s="33" t="str">
        <f>'Municípios RJ'!O39&amp;""</f>
        <v/>
      </c>
      <c r="C49" s="33" t="str">
        <f>'Municípios RJ'!N39</f>
        <v>sim</v>
      </c>
      <c r="D49" s="34">
        <f>IF($B49="",'Municípios RJ'!P39,"")</f>
        <v>4427.2419353686837</v>
      </c>
      <c r="E49" s="34" t="str">
        <f>IF($C49="não",'Municípios RJ'!P39,"")</f>
        <v/>
      </c>
      <c r="F49" s="34" t="str">
        <f>IF(AND($B49="",$C49="não"),'Municípios RJ'!P39,"")</f>
        <v/>
      </c>
      <c r="G49" s="35">
        <f>IF($B49="",'Municípios RJ'!Q39,"")</f>
        <v>0.34036108080091793</v>
      </c>
      <c r="H49" s="35" t="str">
        <f>IF($C49="não",'Municípios RJ'!Q39,"")</f>
        <v/>
      </c>
      <c r="I49" s="35" t="str">
        <f>IF(AND($B49="",$C49="não"),'Municípios RJ'!Q39,"")</f>
        <v/>
      </c>
      <c r="J49" s="35">
        <f>IF($B49="",'Municípios RJ'!V39,"")</f>
        <v>0.40447512863532331</v>
      </c>
      <c r="K49" s="35" t="str">
        <f>IF($C49="não",'Municípios RJ'!V39,"")</f>
        <v/>
      </c>
      <c r="L49" s="35" t="str">
        <f>IF(AND($B49="",$C49="não"),'Municípios RJ'!V39,"")</f>
        <v/>
      </c>
      <c r="M49" s="35">
        <f>IF($B49="",'Municípios RJ'!S39,"")</f>
        <v>0.91365800108980222</v>
      </c>
      <c r="N49" s="35" t="str">
        <f>IF($C49="não",'Municípios RJ'!S39,"")</f>
        <v/>
      </c>
      <c r="O49" s="35" t="str">
        <f>IF(AND($B49="",$C49="não"),'Municípios RJ'!S39,"")</f>
        <v/>
      </c>
    </row>
    <row r="50" spans="1:15" x14ac:dyDescent="0.25">
      <c r="A50" s="33" t="str">
        <f>'Municípios RJ'!A40</f>
        <v>Magé</v>
      </c>
      <c r="B50" s="33" t="str">
        <f>'Municípios RJ'!O40&amp;""</f>
        <v/>
      </c>
      <c r="C50" s="33" t="str">
        <f>'Municípios RJ'!N40</f>
        <v>não</v>
      </c>
      <c r="D50" s="34">
        <f>IF($B50="",'Municípios RJ'!P40,"")</f>
        <v>1540.2266840781344</v>
      </c>
      <c r="E50" s="34">
        <f>IF($C50="não",'Municípios RJ'!P40,"")</f>
        <v>1540.2266840781344</v>
      </c>
      <c r="F50" s="34">
        <f>IF(AND($B50="",$C50="não"),'Municípios RJ'!P40,"")</f>
        <v>1540.2266840781344</v>
      </c>
      <c r="G50" s="35">
        <f>IF($B50="",'Municípios RJ'!Q40,"")</f>
        <v>0.30074043434041031</v>
      </c>
      <c r="H50" s="35">
        <f>IF($C50="não",'Municípios RJ'!Q40,"")</f>
        <v>0.30074043434041031</v>
      </c>
      <c r="I50" s="35">
        <f>IF(AND($B50="",$C50="não"),'Municípios RJ'!Q40,"")</f>
        <v>0.30074043434041031</v>
      </c>
      <c r="J50" s="35">
        <f>IF($B50="",'Municípios RJ'!V40,"")</f>
        <v>0.51671506982849003</v>
      </c>
      <c r="K50" s="35">
        <f>IF($C50="não",'Municípios RJ'!V40,"")</f>
        <v>0.51671506982849003</v>
      </c>
      <c r="L50" s="35">
        <f>IF(AND($B50="",$C50="não"),'Municípios RJ'!V40,"")</f>
        <v>0.51671506982849003</v>
      </c>
      <c r="M50" s="35">
        <f>IF($B50="",'Municípios RJ'!S40,"")</f>
        <v>1.0453619383006669</v>
      </c>
      <c r="N50" s="35">
        <f>IF($C50="não",'Municípios RJ'!S40,"")</f>
        <v>1.0453619383006669</v>
      </c>
      <c r="O50" s="35">
        <f>IF(AND($B50="",$C50="não"),'Municípios RJ'!S40,"")</f>
        <v>1.0453619383006669</v>
      </c>
    </row>
    <row r="51" spans="1:15" x14ac:dyDescent="0.25">
      <c r="A51" s="33" t="str">
        <f>'Municípios RJ'!A41</f>
        <v>Mangaratiba</v>
      </c>
      <c r="B51" s="33" t="str">
        <f>'Municípios RJ'!O41&amp;""</f>
        <v/>
      </c>
      <c r="C51" s="33" t="str">
        <f>'Municípios RJ'!N41</f>
        <v>não</v>
      </c>
      <c r="D51" s="34">
        <f>IF($B51="",'Municípios RJ'!P41,"")</f>
        <v>3418.6104905556572</v>
      </c>
      <c r="E51" s="34">
        <f>IF($C51="não",'Municípios RJ'!P41,"")</f>
        <v>3418.6104905556572</v>
      </c>
      <c r="F51" s="34">
        <f>IF(AND($B51="",$C51="não"),'Municípios RJ'!P41,"")</f>
        <v>3418.6104905556572</v>
      </c>
      <c r="G51" s="35">
        <f>IF($B51="",'Municípios RJ'!Q41,"")</f>
        <v>0.24351522129755318</v>
      </c>
      <c r="H51" s="35">
        <f>IF($C51="não",'Municípios RJ'!Q41,"")</f>
        <v>0.24351522129755318</v>
      </c>
      <c r="I51" s="35">
        <f>IF(AND($B51="",$C51="não"),'Municípios RJ'!Q41,"")</f>
        <v>0.24351522129755318</v>
      </c>
      <c r="J51" s="35">
        <f>IF($B51="",'Municípios RJ'!V41,"")</f>
        <v>0.55498479491445363</v>
      </c>
      <c r="K51" s="35">
        <f>IF($C51="não",'Municípios RJ'!V41,"")</f>
        <v>0.55498479491445363</v>
      </c>
      <c r="L51" s="35">
        <f>IF(AND($B51="",$C51="não"),'Municípios RJ'!V41,"")</f>
        <v>0.55498479491445363</v>
      </c>
      <c r="M51" s="35">
        <f>IF($B51="",'Municípios RJ'!S41,"")</f>
        <v>1.0900547540427559</v>
      </c>
      <c r="N51" s="35">
        <f>IF($C51="não",'Municípios RJ'!S41,"")</f>
        <v>1.0900547540427559</v>
      </c>
      <c r="O51" s="35">
        <f>IF(AND($B51="",$C51="não"),'Municípios RJ'!S41,"")</f>
        <v>1.0900547540427559</v>
      </c>
    </row>
    <row r="52" spans="1:15" x14ac:dyDescent="0.25">
      <c r="A52" s="33" t="str">
        <f>'Municípios RJ'!A42</f>
        <v>Maricá</v>
      </c>
      <c r="B52" s="33" t="str">
        <f>'Municípios RJ'!O42&amp;""</f>
        <v/>
      </c>
      <c r="C52" s="33" t="str">
        <f>'Municípios RJ'!N42</f>
        <v>não</v>
      </c>
      <c r="D52" s="34">
        <f>IF($B52="",'Municípios RJ'!P42,"")</f>
        <v>5188.2044390667306</v>
      </c>
      <c r="E52" s="34">
        <f>IF($C52="não",'Municípios RJ'!P42,"")</f>
        <v>5188.2044390667306</v>
      </c>
      <c r="F52" s="34">
        <f>IF(AND($B52="",$C52="não"),'Municípios RJ'!P42,"")</f>
        <v>5188.2044390667306</v>
      </c>
      <c r="G52" s="35">
        <f>IF($B52="",'Municípios RJ'!Q42,"")</f>
        <v>0.15327488522185048</v>
      </c>
      <c r="H52" s="35">
        <f>IF($C52="não",'Municípios RJ'!Q42,"")</f>
        <v>0.15327488522185048</v>
      </c>
      <c r="I52" s="35">
        <f>IF(AND($B52="",$C52="não"),'Municípios RJ'!Q42,"")</f>
        <v>0.15327488522185048</v>
      </c>
      <c r="J52" s="35">
        <f>IF($B52="",'Municípios RJ'!V42,"")</f>
        <v>0.20229221385424387</v>
      </c>
      <c r="K52" s="35">
        <f>IF($C52="não",'Municípios RJ'!V42,"")</f>
        <v>0.20229221385424387</v>
      </c>
      <c r="L52" s="35">
        <f>IF(AND($B52="",$C52="não"),'Municípios RJ'!V42,"")</f>
        <v>0.20229221385424387</v>
      </c>
      <c r="M52" s="35">
        <f>IF($B52="",'Municípios RJ'!S42,"")</f>
        <v>1.0727942692268986</v>
      </c>
      <c r="N52" s="35">
        <f>IF($C52="não",'Municípios RJ'!S42,"")</f>
        <v>1.0727942692268986</v>
      </c>
      <c r="O52" s="35">
        <f>IF(AND($B52="",$C52="não"),'Municípios RJ'!S42,"")</f>
        <v>1.0727942692268986</v>
      </c>
    </row>
    <row r="53" spans="1:15" x14ac:dyDescent="0.25">
      <c r="A53" s="33" t="str">
        <f>'Municípios RJ'!A43</f>
        <v>Mendes</v>
      </c>
      <c r="B53" s="33" t="str">
        <f>'Municípios RJ'!O43&amp;""</f>
        <v/>
      </c>
      <c r="C53" s="33" t="str">
        <f>'Municípios RJ'!N43</f>
        <v>não</v>
      </c>
      <c r="D53" s="34">
        <f>IF($B53="",'Municípios RJ'!P43,"")</f>
        <v>1961.561046041332</v>
      </c>
      <c r="E53" s="34">
        <f>IF($C53="não",'Municípios RJ'!P43,"")</f>
        <v>1961.561046041332</v>
      </c>
      <c r="F53" s="34">
        <f>IF(AND($B53="",$C53="não"),'Municípios RJ'!P43,"")</f>
        <v>1961.561046041332</v>
      </c>
      <c r="G53" s="35">
        <f>IF($B53="",'Municípios RJ'!Q43,"")</f>
        <v>0.22512447235150426</v>
      </c>
      <c r="H53" s="35">
        <f>IF($C53="não",'Municípios RJ'!Q43,"")</f>
        <v>0.22512447235150426</v>
      </c>
      <c r="I53" s="35">
        <f>IF(AND($B53="",$C53="não"),'Municípios RJ'!Q43,"")</f>
        <v>0.22512447235150426</v>
      </c>
      <c r="J53" s="35">
        <f>IF($B53="",'Municípios RJ'!V43,"")</f>
        <v>0.45453768903799346</v>
      </c>
      <c r="K53" s="35">
        <f>IF($C53="não",'Municípios RJ'!V43,"")</f>
        <v>0.45453768903799346</v>
      </c>
      <c r="L53" s="35">
        <f>IF(AND($B53="",$C53="não"),'Municípios RJ'!V43,"")</f>
        <v>0.45453768903799346</v>
      </c>
      <c r="M53" s="35">
        <f>IF($B53="",'Municípios RJ'!S43,"")</f>
        <v>0.98492304652453611</v>
      </c>
      <c r="N53" s="35">
        <f>IF($C53="não",'Municípios RJ'!S43,"")</f>
        <v>0.98492304652453611</v>
      </c>
      <c r="O53" s="35">
        <f>IF(AND($B53="",$C53="não"),'Municípios RJ'!S43,"")</f>
        <v>0.98492304652453611</v>
      </c>
    </row>
    <row r="54" spans="1:15" x14ac:dyDescent="0.25">
      <c r="A54" s="33" t="str">
        <f>'Municípios RJ'!A44</f>
        <v>Mesquita</v>
      </c>
      <c r="B54" s="33" t="str">
        <f>'Municípios RJ'!O44&amp;""</f>
        <v/>
      </c>
      <c r="C54" s="33" t="str">
        <f>'Municípios RJ'!N44</f>
        <v>não</v>
      </c>
      <c r="D54" s="34">
        <f>IF($B54="",'Municípios RJ'!P44,"")</f>
        <v>1111.2900342835412</v>
      </c>
      <c r="E54" s="34">
        <f>IF($C54="não",'Municípios RJ'!P44,"")</f>
        <v>1111.2900342835412</v>
      </c>
      <c r="F54" s="34">
        <f>IF(AND($B54="",$C54="não"),'Municípios RJ'!P44,"")</f>
        <v>1111.2900342835412</v>
      </c>
      <c r="G54" s="35">
        <f>IF($B54="",'Municípios RJ'!Q44,"")</f>
        <v>0.30795694691345926</v>
      </c>
      <c r="H54" s="35">
        <f>IF($C54="não",'Municípios RJ'!Q44,"")</f>
        <v>0.30795694691345926</v>
      </c>
      <c r="I54" s="35">
        <f>IF(AND($B54="",$C54="não"),'Municípios RJ'!Q44,"")</f>
        <v>0.30795694691345926</v>
      </c>
      <c r="J54" s="35">
        <f>IF($B54="",'Municípios RJ'!V44,"")</f>
        <v>0.35866300940945378</v>
      </c>
      <c r="K54" s="35">
        <f>IF($C54="não",'Municípios RJ'!V44,"")</f>
        <v>0.35866300940945378</v>
      </c>
      <c r="L54" s="35">
        <f>IF(AND($B54="",$C54="não"),'Municípios RJ'!V44,"")</f>
        <v>0.35866300940945378</v>
      </c>
      <c r="M54" s="35">
        <f>IF($B54="",'Municípios RJ'!S44,"")</f>
        <v>0.92002434533571553</v>
      </c>
      <c r="N54" s="35">
        <f>IF($C54="não",'Municípios RJ'!S44,"")</f>
        <v>0.92002434533571553</v>
      </c>
      <c r="O54" s="35">
        <f>IF(AND($B54="",$C54="não"),'Municípios RJ'!S44,"")</f>
        <v>0.92002434533571553</v>
      </c>
    </row>
    <row r="55" spans="1:15" x14ac:dyDescent="0.25">
      <c r="A55" s="33" t="str">
        <f>'Municípios RJ'!A45</f>
        <v>Miguel Pereira</v>
      </c>
      <c r="B55" s="33" t="str">
        <f>'Municípios RJ'!O45&amp;""</f>
        <v/>
      </c>
      <c r="C55" s="33" t="str">
        <f>'Municípios RJ'!N45</f>
        <v>não</v>
      </c>
      <c r="D55" s="34">
        <f>IF($B55="",'Municípios RJ'!P45,"")</f>
        <v>3044.4495669025355</v>
      </c>
      <c r="E55" s="34">
        <f>IF($C55="não",'Municípios RJ'!P45,"")</f>
        <v>3044.4495669025355</v>
      </c>
      <c r="F55" s="34">
        <f>IF(AND($B55="",$C55="não"),'Municípios RJ'!P45,"")</f>
        <v>3044.4495669025355</v>
      </c>
      <c r="G55" s="35">
        <f>IF($B55="",'Municípios RJ'!Q45,"")</f>
        <v>0.30326746042468206</v>
      </c>
      <c r="H55" s="35">
        <f>IF($C55="não",'Municípios RJ'!Q45,"")</f>
        <v>0.30326746042468206</v>
      </c>
      <c r="I55" s="35">
        <f>IF(AND($B55="",$C55="não"),'Municípios RJ'!Q45,"")</f>
        <v>0.30326746042468206</v>
      </c>
      <c r="J55" s="35">
        <f>IF($B55="",'Municípios RJ'!V45,"")</f>
        <v>0.45385729077230658</v>
      </c>
      <c r="K55" s="35">
        <f>IF($C55="não",'Municípios RJ'!V45,"")</f>
        <v>0.45385729077230658</v>
      </c>
      <c r="L55" s="35">
        <f>IF(AND($B55="",$C55="não"),'Municípios RJ'!V45,"")</f>
        <v>0.45385729077230658</v>
      </c>
      <c r="M55" s="35">
        <f>IF($B55="",'Municípios RJ'!S45,"")</f>
        <v>0.99404499778538191</v>
      </c>
      <c r="N55" s="35">
        <f>IF($C55="não",'Municípios RJ'!S45,"")</f>
        <v>0.99404499778538191</v>
      </c>
      <c r="O55" s="35">
        <f>IF(AND($B55="",$C55="não"),'Municípios RJ'!S45,"")</f>
        <v>0.99404499778538191</v>
      </c>
    </row>
    <row r="56" spans="1:15" x14ac:dyDescent="0.25">
      <c r="A56" s="33" t="str">
        <f>'Municípios RJ'!A46</f>
        <v>Miracema</v>
      </c>
      <c r="B56" s="33" t="str">
        <f>'Municípios RJ'!O46&amp;""</f>
        <v>RCL atípica</v>
      </c>
      <c r="C56" s="33" t="str">
        <f>'Municípios RJ'!N46</f>
        <v>não</v>
      </c>
      <c r="D56" s="34" t="str">
        <f>IF($B56="",'Municípios RJ'!P46,"")</f>
        <v/>
      </c>
      <c r="E56" s="34">
        <f>IF($C56="não",'Municípios RJ'!P46,"")</f>
        <v>1736.9434951251276</v>
      </c>
      <c r="F56" s="34" t="str">
        <f>IF(AND($B56="",$C56="não"),'Municípios RJ'!P46,"")</f>
        <v/>
      </c>
      <c r="G56" s="35" t="str">
        <f>IF($B56="",'Municípios RJ'!Q46,"")</f>
        <v/>
      </c>
      <c r="H56" s="35">
        <f>IF($C56="não",'Municípios RJ'!Q46,"")</f>
        <v>0.25935723869816635</v>
      </c>
      <c r="I56" s="35" t="str">
        <f>IF(AND($B56="",$C56="não"),'Municípios RJ'!Q46,"")</f>
        <v/>
      </c>
      <c r="J56" s="35" t="str">
        <f>IF($B56="",'Municípios RJ'!V46,"")</f>
        <v/>
      </c>
      <c r="K56" s="35">
        <f>IF($C56="não",'Municípios RJ'!V46,"")</f>
        <v>1.2231584468828856</v>
      </c>
      <c r="L56" s="35" t="str">
        <f>IF(AND($B56="",$C56="não"),'Municípios RJ'!V46,"")</f>
        <v/>
      </c>
      <c r="M56" s="35" t="str">
        <f>IF($B56="",'Municípios RJ'!S46,"")</f>
        <v/>
      </c>
      <c r="N56" s="35">
        <f>IF($C56="não",'Municípios RJ'!S46,"")</f>
        <v>1.0761976197784791</v>
      </c>
      <c r="O56" s="35" t="str">
        <f>IF(AND($B56="",$C56="não"),'Municípios RJ'!S46,"")</f>
        <v/>
      </c>
    </row>
    <row r="57" spans="1:15" x14ac:dyDescent="0.25">
      <c r="A57" s="33" t="str">
        <f>'Municípios RJ'!A47</f>
        <v>Natividade</v>
      </c>
      <c r="B57" s="33" t="str">
        <f>'Municípios RJ'!O47&amp;""</f>
        <v/>
      </c>
      <c r="C57" s="33" t="str">
        <f>'Municípios RJ'!N47</f>
        <v>sim</v>
      </c>
      <c r="D57" s="34">
        <f>IF($B57="",'Municípios RJ'!P47,"")</f>
        <v>2599.8381916398716</v>
      </c>
      <c r="E57" s="34" t="str">
        <f>IF($C57="não",'Municípios RJ'!P47,"")</f>
        <v/>
      </c>
      <c r="F57" s="34" t="str">
        <f>IF(AND($B57="",$C57="não"),'Municípios RJ'!P47,"")</f>
        <v/>
      </c>
      <c r="G57" s="35">
        <f>IF($B57="",'Municípios RJ'!Q47,"")</f>
        <v>0.31265267252157958</v>
      </c>
      <c r="H57" s="35" t="str">
        <f>IF($C57="não",'Municípios RJ'!Q47,"")</f>
        <v/>
      </c>
      <c r="I57" s="35" t="str">
        <f>IF(AND($B57="",$C57="não"),'Municípios RJ'!Q47,"")</f>
        <v/>
      </c>
      <c r="J57" s="35">
        <f>IF($B57="",'Municípios RJ'!V47,"")</f>
        <v>0.45685107240965223</v>
      </c>
      <c r="K57" s="35" t="str">
        <f>IF($C57="não",'Municípios RJ'!V47,"")</f>
        <v/>
      </c>
      <c r="L57" s="35" t="str">
        <f>IF(AND($B57="",$C57="não"),'Municípios RJ'!V47,"")</f>
        <v/>
      </c>
      <c r="M57" s="35">
        <f>IF($B57="",'Municípios RJ'!S47,"")</f>
        <v>1.0209275223981995</v>
      </c>
      <c r="N57" s="35" t="str">
        <f>IF($C57="não",'Municípios RJ'!S47,"")</f>
        <v/>
      </c>
      <c r="O57" s="35" t="str">
        <f>IF(AND($B57="",$C57="não"),'Municípios RJ'!S47,"")</f>
        <v/>
      </c>
    </row>
    <row r="58" spans="1:15" x14ac:dyDescent="0.25">
      <c r="A58" s="33" t="str">
        <f>'Municípios RJ'!A48</f>
        <v>Nilópolis</v>
      </c>
      <c r="B58" s="33" t="str">
        <f>'Municípios RJ'!O48&amp;""</f>
        <v/>
      </c>
      <c r="C58" s="33" t="str">
        <f>'Municípios RJ'!N48</f>
        <v>não</v>
      </c>
      <c r="D58" s="34">
        <f>IF($B58="",'Municípios RJ'!P48,"")</f>
        <v>1323.82514426786</v>
      </c>
      <c r="E58" s="34">
        <f>IF($C58="não",'Municípios RJ'!P48,"")</f>
        <v>1323.82514426786</v>
      </c>
      <c r="F58" s="34">
        <f>IF(AND($B58="",$C58="não"),'Municípios RJ'!P48,"")</f>
        <v>1323.82514426786</v>
      </c>
      <c r="G58" s="35">
        <f>IF($B58="",'Municípios RJ'!Q48,"")</f>
        <v>0.33390204364926956</v>
      </c>
      <c r="H58" s="35">
        <f>IF($C58="não",'Municípios RJ'!Q48,"")</f>
        <v>0.33390204364926956</v>
      </c>
      <c r="I58" s="35">
        <f>IF(AND($B58="",$C58="não"),'Municípios RJ'!Q48,"")</f>
        <v>0.33390204364926956</v>
      </c>
      <c r="J58" s="35">
        <f>IF($B58="",'Municípios RJ'!V48,"")</f>
        <v>0.38799585582852425</v>
      </c>
      <c r="K58" s="35">
        <f>IF($C58="não",'Municípios RJ'!V48,"")</f>
        <v>0.38799585582852425</v>
      </c>
      <c r="L58" s="35">
        <f>IF(AND($B58="",$C58="não"),'Municípios RJ'!V48,"")</f>
        <v>0.38799585582852425</v>
      </c>
      <c r="M58" s="35">
        <f>IF($B58="",'Municípios RJ'!S48,"")</f>
        <v>1.1037262561197567</v>
      </c>
      <c r="N58" s="35">
        <f>IF($C58="não",'Municípios RJ'!S48,"")</f>
        <v>1.1037262561197567</v>
      </c>
      <c r="O58" s="35">
        <f>IF(AND($B58="",$C58="não"),'Municípios RJ'!S48,"")</f>
        <v>1.1037262561197567</v>
      </c>
    </row>
    <row r="59" spans="1:15" x14ac:dyDescent="0.25">
      <c r="A59" s="33" t="str">
        <f>'Municípios RJ'!A49</f>
        <v>Niterói</v>
      </c>
      <c r="B59" s="33" t="str">
        <f>'Municípios RJ'!O49&amp;""</f>
        <v/>
      </c>
      <c r="C59" s="33" t="str">
        <f>'Municípios RJ'!N49</f>
        <v>não</v>
      </c>
      <c r="D59" s="34">
        <f>IF($B59="",'Municípios RJ'!P49,"")</f>
        <v>1698.1709882721782</v>
      </c>
      <c r="E59" s="34">
        <f>IF($C59="não",'Municípios RJ'!P49,"")</f>
        <v>1698.1709882721782</v>
      </c>
      <c r="F59" s="34">
        <f>IF(AND($B59="",$C59="não"),'Municípios RJ'!P49,"")</f>
        <v>1698.1709882721782</v>
      </c>
      <c r="G59" s="35">
        <f>IF($B59="",'Municípios RJ'!Q49,"")</f>
        <v>0.15578180983124151</v>
      </c>
      <c r="H59" s="35">
        <f>IF($C59="não",'Municípios RJ'!Q49,"")</f>
        <v>0.15578180983124151</v>
      </c>
      <c r="I59" s="35">
        <f>IF(AND($B59="",$C59="não"),'Municípios RJ'!Q49,"")</f>
        <v>0.15578180983124151</v>
      </c>
      <c r="J59" s="35">
        <f>IF($B59="",'Municípios RJ'!V49,"")</f>
        <v>0.38828283464909574</v>
      </c>
      <c r="K59" s="35">
        <f>IF($C59="não",'Municípios RJ'!V49,"")</f>
        <v>0.38828283464909574</v>
      </c>
      <c r="L59" s="35">
        <f>IF(AND($B59="",$C59="não"),'Municípios RJ'!V49,"")</f>
        <v>0.38828283464909574</v>
      </c>
      <c r="M59" s="35">
        <f>IF($B59="",'Municípios RJ'!S49,"")</f>
        <v>0.92248869268771094</v>
      </c>
      <c r="N59" s="35">
        <f>IF($C59="não",'Municípios RJ'!S49,"")</f>
        <v>0.92248869268771094</v>
      </c>
      <c r="O59" s="35">
        <f>IF(AND($B59="",$C59="não"),'Municípios RJ'!S49,"")</f>
        <v>0.92248869268771094</v>
      </c>
    </row>
    <row r="60" spans="1:15" x14ac:dyDescent="0.25">
      <c r="A60" s="33" t="str">
        <f>'Municípios RJ'!A50</f>
        <v>Nova Friburgo</v>
      </c>
      <c r="B60" s="33" t="str">
        <f>'Municípios RJ'!O50&amp;""</f>
        <v/>
      </c>
      <c r="C60" s="33" t="str">
        <f>'Municípios RJ'!N50</f>
        <v>não</v>
      </c>
      <c r="D60" s="34">
        <f>IF($B60="",'Municípios RJ'!P50,"")</f>
        <v>1524.8761501613158</v>
      </c>
      <c r="E60" s="34">
        <f>IF($C60="não",'Municípios RJ'!P50,"")</f>
        <v>1524.8761501613158</v>
      </c>
      <c r="F60" s="34">
        <f>IF(AND($B60="",$C60="não"),'Municípios RJ'!P50,"")</f>
        <v>1524.8761501613158</v>
      </c>
      <c r="G60" s="35">
        <f>IF($B60="",'Municípios RJ'!Q50,"")</f>
        <v>0.36254475882445064</v>
      </c>
      <c r="H60" s="35">
        <f>IF($C60="não",'Municípios RJ'!Q50,"")</f>
        <v>0.36254475882445064</v>
      </c>
      <c r="I60" s="35">
        <f>IF(AND($B60="",$C60="não"),'Municípios RJ'!Q50,"")</f>
        <v>0.36254475882445064</v>
      </c>
      <c r="J60" s="35">
        <f>IF($B60="",'Municípios RJ'!V50,"")</f>
        <v>0.53907533166359112</v>
      </c>
      <c r="K60" s="35">
        <f>IF($C60="não",'Municípios RJ'!V50,"")</f>
        <v>0.53907533166359112</v>
      </c>
      <c r="L60" s="35">
        <f>IF(AND($B60="",$C60="não"),'Municípios RJ'!V50,"")</f>
        <v>0.53907533166359112</v>
      </c>
      <c r="M60" s="35">
        <f>IF($B60="",'Municípios RJ'!S50,"")</f>
        <v>1.0327210944023923</v>
      </c>
      <c r="N60" s="35">
        <f>IF($C60="não",'Municípios RJ'!S50,"")</f>
        <v>1.0327210944023923</v>
      </c>
      <c r="O60" s="35">
        <f>IF(AND($B60="",$C60="não"),'Municípios RJ'!S50,"")</f>
        <v>1.0327210944023923</v>
      </c>
    </row>
    <row r="61" spans="1:15" x14ac:dyDescent="0.25">
      <c r="A61" s="33" t="str">
        <f>'Municípios RJ'!A51</f>
        <v>Nova Iguaçu</v>
      </c>
      <c r="B61" s="33" t="str">
        <f>'Municípios RJ'!O51&amp;""</f>
        <v/>
      </c>
      <c r="C61" s="33" t="str">
        <f>'Municípios RJ'!N51</f>
        <v>não</v>
      </c>
      <c r="D61" s="34">
        <f>IF($B61="",'Municípios RJ'!P51,"")</f>
        <v>1025.7680132044989</v>
      </c>
      <c r="E61" s="34">
        <f>IF($C61="não",'Municípios RJ'!P51,"")</f>
        <v>1025.7680132044989</v>
      </c>
      <c r="F61" s="34">
        <f>IF(AND($B61="",$C61="não"),'Municípios RJ'!P51,"")</f>
        <v>1025.7680132044989</v>
      </c>
      <c r="G61" s="35">
        <f>IF($B61="",'Municípios RJ'!Q51,"")</f>
        <v>0.31190803588525084</v>
      </c>
      <c r="H61" s="35">
        <f>IF($C61="não",'Municípios RJ'!Q51,"")</f>
        <v>0.31190803588525084</v>
      </c>
      <c r="I61" s="35">
        <f>IF(AND($B61="",$C61="não"),'Municípios RJ'!Q51,"")</f>
        <v>0.31190803588525084</v>
      </c>
      <c r="J61" s="35">
        <f>IF($B61="",'Municípios RJ'!V51,"")</f>
        <v>0.43519416186228688</v>
      </c>
      <c r="K61" s="35">
        <f>IF($C61="não",'Municípios RJ'!V51,"")</f>
        <v>0.43519416186228688</v>
      </c>
      <c r="L61" s="35">
        <f>IF(AND($B61="",$C61="não"),'Municípios RJ'!V51,"")</f>
        <v>0.43519416186228688</v>
      </c>
      <c r="M61" s="35">
        <f>IF($B61="",'Municípios RJ'!S51,"")</f>
        <v>1.0509170150738325</v>
      </c>
      <c r="N61" s="35">
        <f>IF($C61="não",'Municípios RJ'!S51,"")</f>
        <v>1.0509170150738325</v>
      </c>
      <c r="O61" s="35">
        <f>IF(AND($B61="",$C61="não"),'Municípios RJ'!S51,"")</f>
        <v>1.0509170150738325</v>
      </c>
    </row>
    <row r="62" spans="1:15" x14ac:dyDescent="0.25">
      <c r="A62" s="33" t="str">
        <f>'Municípios RJ'!A52</f>
        <v>Paracambi</v>
      </c>
      <c r="B62" s="33" t="str">
        <f>'Municípios RJ'!O52&amp;""</f>
        <v/>
      </c>
      <c r="C62" s="33" t="str">
        <f>'Municípios RJ'!N52</f>
        <v>não</v>
      </c>
      <c r="D62" s="34">
        <f>IF($B62="",'Municípios RJ'!P52,"")</f>
        <v>2165.2973639362285</v>
      </c>
      <c r="E62" s="34">
        <f>IF($C62="não",'Municípios RJ'!P52,"")</f>
        <v>2165.2973639362285</v>
      </c>
      <c r="F62" s="34">
        <f>IF(AND($B62="",$C62="não"),'Municípios RJ'!P52,"")</f>
        <v>2165.2973639362285</v>
      </c>
      <c r="G62" s="35">
        <f>IF($B62="",'Municípios RJ'!Q52,"")</f>
        <v>0.33896580632390061</v>
      </c>
      <c r="H62" s="35">
        <f>IF($C62="não",'Municípios RJ'!Q52,"")</f>
        <v>0.33896580632390061</v>
      </c>
      <c r="I62" s="35">
        <f>IF(AND($B62="",$C62="não"),'Municípios RJ'!Q52,"")</f>
        <v>0.33896580632390061</v>
      </c>
      <c r="J62" s="35">
        <f>IF($B62="",'Municípios RJ'!V52,"")</f>
        <v>0.33608250362448577</v>
      </c>
      <c r="K62" s="35">
        <f>IF($C62="não",'Municípios RJ'!V52,"")</f>
        <v>0.33608250362448577</v>
      </c>
      <c r="L62" s="35">
        <f>IF(AND($B62="",$C62="não"),'Municípios RJ'!V52,"")</f>
        <v>0.33608250362448577</v>
      </c>
      <c r="M62" s="35">
        <f>IF($B62="",'Municípios RJ'!S52,"")</f>
        <v>0.9989225093988271</v>
      </c>
      <c r="N62" s="35">
        <f>IF($C62="não",'Municípios RJ'!S52,"")</f>
        <v>0.9989225093988271</v>
      </c>
      <c r="O62" s="35">
        <f>IF(AND($B62="",$C62="não"),'Municípios RJ'!S52,"")</f>
        <v>0.9989225093988271</v>
      </c>
    </row>
    <row r="63" spans="1:15" x14ac:dyDescent="0.25">
      <c r="A63" s="33" t="str">
        <f>'Municípios RJ'!A53</f>
        <v>Paraty</v>
      </c>
      <c r="B63" s="33" t="str">
        <f>'Municípios RJ'!O53&amp;""</f>
        <v/>
      </c>
      <c r="C63" s="33" t="str">
        <f>'Municípios RJ'!N53</f>
        <v>não</v>
      </c>
      <c r="D63" s="34">
        <f>IF($B63="",'Municípios RJ'!P53,"")</f>
        <v>3203.8517037005927</v>
      </c>
      <c r="E63" s="34">
        <f>IF($C63="não",'Municípios RJ'!P53,"")</f>
        <v>3203.8517037005927</v>
      </c>
      <c r="F63" s="34">
        <f>IF(AND($B63="",$C63="não"),'Municípios RJ'!P53,"")</f>
        <v>3203.8517037005927</v>
      </c>
      <c r="G63" s="35">
        <f>IF($B63="",'Municípios RJ'!Q53,"")</f>
        <v>0.26179912250160181</v>
      </c>
      <c r="H63" s="35">
        <f>IF($C63="não",'Municípios RJ'!Q53,"")</f>
        <v>0.26179912250160181</v>
      </c>
      <c r="I63" s="35">
        <f>IF(AND($B63="",$C63="não"),'Municípios RJ'!Q53,"")</f>
        <v>0.26179912250160181</v>
      </c>
      <c r="J63" s="35">
        <f>IF($B63="",'Municípios RJ'!V53,"")</f>
        <v>0.38651222919889633</v>
      </c>
      <c r="K63" s="35">
        <f>IF($C63="não",'Municípios RJ'!V53,"")</f>
        <v>0.38651222919889633</v>
      </c>
      <c r="L63" s="35">
        <f>IF(AND($B63="",$C63="não"),'Municípios RJ'!V53,"")</f>
        <v>0.38651222919889633</v>
      </c>
      <c r="M63" s="35">
        <f>IF($B63="",'Municípios RJ'!S53,"")</f>
        <v>1.1044691648650093</v>
      </c>
      <c r="N63" s="35">
        <f>IF($C63="não",'Municípios RJ'!S53,"")</f>
        <v>1.1044691648650093</v>
      </c>
      <c r="O63" s="35">
        <f>IF(AND($B63="",$C63="não"),'Municípios RJ'!S53,"")</f>
        <v>1.1044691648650093</v>
      </c>
    </row>
    <row r="64" spans="1:15" x14ac:dyDescent="0.25">
      <c r="A64" s="33" t="str">
        <f>'Municípios RJ'!A54</f>
        <v>Paraíba do Sul</v>
      </c>
      <c r="B64" s="33" t="str">
        <f>'Municípios RJ'!O54&amp;""</f>
        <v/>
      </c>
      <c r="C64" s="33" t="str">
        <f>'Municípios RJ'!N54</f>
        <v>não</v>
      </c>
      <c r="D64" s="34">
        <f>IF($B64="",'Municípios RJ'!P54,"")</f>
        <v>1558.8078473924484</v>
      </c>
      <c r="E64" s="34">
        <f>IF($C64="não",'Municípios RJ'!P54,"")</f>
        <v>1558.8078473924484</v>
      </c>
      <c r="F64" s="34">
        <f>IF(AND($B64="",$C64="não"),'Municípios RJ'!P54,"")</f>
        <v>1558.8078473924484</v>
      </c>
      <c r="G64" s="35">
        <f>IF($B64="",'Municípios RJ'!Q54,"")</f>
        <v>0.23914920177031621</v>
      </c>
      <c r="H64" s="35">
        <f>IF($C64="não",'Municípios RJ'!Q54,"")</f>
        <v>0.23914920177031621</v>
      </c>
      <c r="I64" s="35">
        <f>IF(AND($B64="",$C64="não"),'Municípios RJ'!Q54,"")</f>
        <v>0.23914920177031621</v>
      </c>
      <c r="J64" s="35">
        <f>IF($B64="",'Municípios RJ'!V54,"")</f>
        <v>0.51043654079347078</v>
      </c>
      <c r="K64" s="35">
        <f>IF($C64="não",'Municípios RJ'!V54,"")</f>
        <v>0.51043654079347078</v>
      </c>
      <c r="L64" s="35">
        <f>IF(AND($B64="",$C64="não"),'Municípios RJ'!V54,"")</f>
        <v>0.51043654079347078</v>
      </c>
      <c r="M64" s="35">
        <f>IF($B64="",'Municípios RJ'!S54,"")</f>
        <v>1.0811108654211112</v>
      </c>
      <c r="N64" s="35">
        <f>IF($C64="não",'Municípios RJ'!S54,"")</f>
        <v>1.0811108654211112</v>
      </c>
      <c r="O64" s="35">
        <f>IF(AND($B64="",$C64="não"),'Municípios RJ'!S54,"")</f>
        <v>1.0811108654211112</v>
      </c>
    </row>
    <row r="65" spans="1:15" x14ac:dyDescent="0.25">
      <c r="A65" s="33" t="str">
        <f>'Municípios RJ'!A55</f>
        <v>Paty do Alferes</v>
      </c>
      <c r="B65" s="33" t="str">
        <f>'Municípios RJ'!O55&amp;""</f>
        <v/>
      </c>
      <c r="C65" s="33" t="str">
        <f>'Municípios RJ'!N55</f>
        <v>não</v>
      </c>
      <c r="D65" s="34">
        <f>IF($B65="",'Municípios RJ'!P55,"")</f>
        <v>1709.6982166214707</v>
      </c>
      <c r="E65" s="34">
        <f>IF($C65="não",'Municípios RJ'!P55,"")</f>
        <v>1709.6982166214707</v>
      </c>
      <c r="F65" s="34">
        <f>IF(AND($B65="",$C65="não"),'Municípios RJ'!P55,"")</f>
        <v>1709.6982166214707</v>
      </c>
      <c r="G65" s="35">
        <f>IF($B65="",'Municípios RJ'!Q55,"")</f>
        <v>0.23891362259486446</v>
      </c>
      <c r="H65" s="35">
        <f>IF($C65="não",'Municípios RJ'!Q55,"")</f>
        <v>0.23891362259486446</v>
      </c>
      <c r="I65" s="35">
        <f>IF(AND($B65="",$C65="não"),'Municípios RJ'!Q55,"")</f>
        <v>0.23891362259486446</v>
      </c>
      <c r="J65" s="35">
        <f>IF($B65="",'Municípios RJ'!V55,"")</f>
        <v>0.54140293566092346</v>
      </c>
      <c r="K65" s="35">
        <f>IF($C65="não",'Municípios RJ'!V55,"")</f>
        <v>0.54140293566092346</v>
      </c>
      <c r="L65" s="35">
        <f>IF(AND($B65="",$C65="não"),'Municípios RJ'!V55,"")</f>
        <v>0.54140293566092346</v>
      </c>
      <c r="M65" s="35">
        <f>IF($B65="",'Municípios RJ'!S55,"")</f>
        <v>1.0758356228102173</v>
      </c>
      <c r="N65" s="35">
        <f>IF($C65="não",'Municípios RJ'!S55,"")</f>
        <v>1.0758356228102173</v>
      </c>
      <c r="O65" s="35">
        <f>IF(AND($B65="",$C65="não"),'Municípios RJ'!S55,"")</f>
        <v>1.0758356228102173</v>
      </c>
    </row>
    <row r="66" spans="1:15" x14ac:dyDescent="0.25">
      <c r="A66" s="33" t="str">
        <f>'Municípios RJ'!A56</f>
        <v>Petrópolis</v>
      </c>
      <c r="B66" s="33" t="str">
        <f>'Municípios RJ'!O56&amp;""</f>
        <v/>
      </c>
      <c r="C66" s="33" t="str">
        <f>'Municípios RJ'!N56</f>
        <v>não</v>
      </c>
      <c r="D66" s="34">
        <f>IF($B66="",'Municípios RJ'!P56,"")</f>
        <v>1960.4288366448236</v>
      </c>
      <c r="E66" s="34">
        <f>IF($C66="não",'Municípios RJ'!P56,"")</f>
        <v>1960.4288366448236</v>
      </c>
      <c r="F66" s="34">
        <f>IF(AND($B66="",$C66="não"),'Municípios RJ'!P56,"")</f>
        <v>1960.4288366448236</v>
      </c>
      <c r="G66" s="35">
        <f>IF($B66="",'Municípios RJ'!Q56,"")</f>
        <v>0.31912629717214464</v>
      </c>
      <c r="H66" s="35">
        <f>IF($C66="não",'Municípios RJ'!Q56,"")</f>
        <v>0.31912629717214464</v>
      </c>
      <c r="I66" s="35">
        <f>IF(AND($B66="",$C66="não"),'Municípios RJ'!Q56,"")</f>
        <v>0.31912629717214464</v>
      </c>
      <c r="J66" s="35">
        <f>IF($B66="",'Municípios RJ'!V56,"")</f>
        <v>0.42076637385971244</v>
      </c>
      <c r="K66" s="35">
        <f>IF($C66="não",'Municípios RJ'!V56,"")</f>
        <v>0.42076637385971244</v>
      </c>
      <c r="L66" s="35">
        <f>IF(AND($B66="",$C66="não"),'Municípios RJ'!V56,"")</f>
        <v>0.42076637385971244</v>
      </c>
      <c r="M66" s="35">
        <f>IF($B66="",'Municípios RJ'!S56,"")</f>
        <v>1.0219408516070876</v>
      </c>
      <c r="N66" s="35">
        <f>IF($C66="não",'Municípios RJ'!S56,"")</f>
        <v>1.0219408516070876</v>
      </c>
      <c r="O66" s="35">
        <f>IF(AND($B66="",$C66="não"),'Municípios RJ'!S56,"")</f>
        <v>1.0219408516070876</v>
      </c>
    </row>
    <row r="67" spans="1:15" x14ac:dyDescent="0.25">
      <c r="A67" s="33" t="str">
        <f>'Municípios RJ'!A57</f>
        <v>Pinheiral</v>
      </c>
      <c r="B67" s="33" t="str">
        <f>'Municípios RJ'!O57&amp;""</f>
        <v/>
      </c>
      <c r="C67" s="33" t="str">
        <f>'Municípios RJ'!N57</f>
        <v>sim</v>
      </c>
      <c r="D67" s="34">
        <f>IF($B67="",'Municípios RJ'!P57,"")</f>
        <v>2305.0627171616502</v>
      </c>
      <c r="E67" s="34" t="str">
        <f>IF($C67="não",'Municípios RJ'!P57,"")</f>
        <v/>
      </c>
      <c r="F67" s="34" t="str">
        <f>IF(AND($B67="",$C67="não"),'Municípios RJ'!P57,"")</f>
        <v/>
      </c>
      <c r="G67" s="35">
        <f>IF($B67="",'Municípios RJ'!Q57,"")</f>
        <v>0.34180752451432039</v>
      </c>
      <c r="H67" s="35" t="str">
        <f>IF($C67="não",'Municípios RJ'!Q57,"")</f>
        <v/>
      </c>
      <c r="I67" s="35" t="str">
        <f>IF(AND($B67="",$C67="não"),'Municípios RJ'!Q57,"")</f>
        <v/>
      </c>
      <c r="J67" s="35">
        <f>IF($B67="",'Municípios RJ'!V57,"")</f>
        <v>0.49131383808394402</v>
      </c>
      <c r="K67" s="35" t="str">
        <f>IF($C67="não",'Municípios RJ'!V57,"")</f>
        <v/>
      </c>
      <c r="L67" s="35" t="str">
        <f>IF(AND($B67="",$C67="não"),'Municípios RJ'!V57,"")</f>
        <v/>
      </c>
      <c r="M67" s="35">
        <f>IF($B67="",'Municípios RJ'!S57,"")</f>
        <v>1.0228940611047488</v>
      </c>
      <c r="N67" s="35" t="str">
        <f>IF($C67="não",'Municípios RJ'!S57,"")</f>
        <v/>
      </c>
      <c r="O67" s="35" t="str">
        <f>IF(AND($B67="",$C67="não"),'Municípios RJ'!S57,"")</f>
        <v/>
      </c>
    </row>
    <row r="68" spans="1:15" x14ac:dyDescent="0.25">
      <c r="A68" s="33" t="str">
        <f>'Municípios RJ'!A58</f>
        <v>Piraí</v>
      </c>
      <c r="B68" s="33" t="str">
        <f>'Municípios RJ'!O58&amp;""</f>
        <v/>
      </c>
      <c r="C68" s="33" t="str">
        <f>'Municípios RJ'!N58</f>
        <v>sim</v>
      </c>
      <c r="D68" s="34">
        <f>IF($B68="",'Municípios RJ'!P58,"")</f>
        <v>3779.1274385626762</v>
      </c>
      <c r="E68" s="34" t="str">
        <f>IF($C68="não",'Municípios RJ'!P58,"")</f>
        <v/>
      </c>
      <c r="F68" s="34" t="str">
        <f>IF(AND($B68="",$C68="não"),'Municípios RJ'!P58,"")</f>
        <v/>
      </c>
      <c r="G68" s="35">
        <f>IF($B68="",'Municípios RJ'!Q58,"")</f>
        <v>0.3419653409748914</v>
      </c>
      <c r="H68" s="35" t="str">
        <f>IF($C68="não",'Municípios RJ'!Q58,"")</f>
        <v/>
      </c>
      <c r="I68" s="35" t="str">
        <f>IF(AND($B68="",$C68="não"),'Municípios RJ'!Q58,"")</f>
        <v/>
      </c>
      <c r="J68" s="35">
        <f>IF($B68="",'Municípios RJ'!V58,"")</f>
        <v>0.46053058279461867</v>
      </c>
      <c r="K68" s="35" t="str">
        <f>IF($C68="não",'Municípios RJ'!V58,"")</f>
        <v/>
      </c>
      <c r="L68" s="35" t="str">
        <f>IF(AND($B68="",$C68="não"),'Municípios RJ'!V58,"")</f>
        <v/>
      </c>
      <c r="M68" s="35">
        <f>IF($B68="",'Municípios RJ'!S58,"")</f>
        <v>0.99238121692887393</v>
      </c>
      <c r="N68" s="35" t="str">
        <f>IF($C68="não",'Municípios RJ'!S58,"")</f>
        <v/>
      </c>
      <c r="O68" s="35" t="str">
        <f>IF(AND($B68="",$C68="não"),'Municípios RJ'!S58,"")</f>
        <v/>
      </c>
    </row>
    <row r="69" spans="1:15" x14ac:dyDescent="0.25">
      <c r="A69" s="33" t="str">
        <f>'Municípios RJ'!A59</f>
        <v>Porciúncula</v>
      </c>
      <c r="B69" s="33" t="str">
        <f>'Municípios RJ'!O59&amp;""</f>
        <v/>
      </c>
      <c r="C69" s="33" t="str">
        <f>'Municípios RJ'!N59</f>
        <v>não</v>
      </c>
      <c r="D69" s="34">
        <f>IF($B69="",'Municípios RJ'!P59,"")</f>
        <v>2647.8431426648722</v>
      </c>
      <c r="E69" s="34">
        <f>IF($C69="não",'Municípios RJ'!P59,"")</f>
        <v>2647.8431426648722</v>
      </c>
      <c r="F69" s="34">
        <f>IF(AND($B69="",$C69="não"),'Municípios RJ'!P59,"")</f>
        <v>2647.8431426648722</v>
      </c>
      <c r="G69" s="35">
        <f>IF($B69="",'Municípios RJ'!Q59,"")</f>
        <v>0.23415113986493535</v>
      </c>
      <c r="H69" s="35">
        <f>IF($C69="não",'Municípios RJ'!Q59,"")</f>
        <v>0.23415113986493535</v>
      </c>
      <c r="I69" s="35">
        <f>IF(AND($B69="",$C69="não"),'Municípios RJ'!Q59,"")</f>
        <v>0.23415113986493535</v>
      </c>
      <c r="J69" s="35">
        <f>IF($B69="",'Municípios RJ'!V59,"")</f>
        <v>0.55950482238157484</v>
      </c>
      <c r="K69" s="35">
        <f>IF($C69="não",'Municípios RJ'!V59,"")</f>
        <v>0.55950482238157484</v>
      </c>
      <c r="L69" s="35">
        <f>IF(AND($B69="",$C69="não"),'Municípios RJ'!V59,"")</f>
        <v>0.55950482238157484</v>
      </c>
      <c r="M69" s="35">
        <f>IF($B69="",'Municípios RJ'!S59,"")</f>
        <v>1.3239230884342839</v>
      </c>
      <c r="N69" s="35">
        <f>IF($C69="não",'Municípios RJ'!S59,"")</f>
        <v>1.3239230884342839</v>
      </c>
      <c r="O69" s="35">
        <f>IF(AND($B69="",$C69="não"),'Municípios RJ'!S59,"")</f>
        <v>1.3239230884342839</v>
      </c>
    </row>
    <row r="70" spans="1:15" x14ac:dyDescent="0.25">
      <c r="A70" s="33" t="str">
        <f>'Municípios RJ'!A60</f>
        <v>Porto Real</v>
      </c>
      <c r="B70" s="33" t="str">
        <f>'Municípios RJ'!O60&amp;""</f>
        <v/>
      </c>
      <c r="C70" s="33" t="str">
        <f>'Municípios RJ'!N60</f>
        <v>sim</v>
      </c>
      <c r="D70" s="34">
        <f>IF($B70="",'Municípios RJ'!P60,"")</f>
        <v>4477.9380801367261</v>
      </c>
      <c r="E70" s="34" t="str">
        <f>IF($C70="não",'Municípios RJ'!P60,"")</f>
        <v/>
      </c>
      <c r="F70" s="34" t="str">
        <f>IF(AND($B70="",$C70="não"),'Municípios RJ'!P60,"")</f>
        <v/>
      </c>
      <c r="G70" s="35">
        <f>IF($B70="",'Municípios RJ'!Q60,"")</f>
        <v>0.33136021527689069</v>
      </c>
      <c r="H70" s="35" t="str">
        <f>IF($C70="não",'Municípios RJ'!Q60,"")</f>
        <v/>
      </c>
      <c r="I70" s="35" t="str">
        <f>IF(AND($B70="",$C70="não"),'Municípios RJ'!Q60,"")</f>
        <v/>
      </c>
      <c r="J70" s="35">
        <f>IF($B70="",'Municípios RJ'!V60,"")</f>
        <v>0.40989039553057627</v>
      </c>
      <c r="K70" s="35" t="str">
        <f>IF($C70="não",'Municípios RJ'!V60,"")</f>
        <v/>
      </c>
      <c r="L70" s="35" t="str">
        <f>IF(AND($B70="",$C70="não"),'Municípios RJ'!V60,"")</f>
        <v/>
      </c>
      <c r="M70" s="35">
        <f>IF($B70="",'Municípios RJ'!S60,"")</f>
        <v>0.95136892871218448</v>
      </c>
      <c r="N70" s="35" t="str">
        <f>IF($C70="não",'Municípios RJ'!S60,"")</f>
        <v/>
      </c>
      <c r="O70" s="35" t="str">
        <f>IF(AND($B70="",$C70="não"),'Municípios RJ'!S60,"")</f>
        <v/>
      </c>
    </row>
    <row r="71" spans="1:15" x14ac:dyDescent="0.25">
      <c r="A71" s="33" t="str">
        <f>'Municípios RJ'!A61</f>
        <v>Quatis</v>
      </c>
      <c r="B71" s="33" t="str">
        <f>'Municípios RJ'!O61&amp;""</f>
        <v/>
      </c>
      <c r="C71" s="33" t="str">
        <f>'Municípios RJ'!N61</f>
        <v>sim</v>
      </c>
      <c r="D71" s="34">
        <f>IF($B71="",'Municípios RJ'!P61,"")</f>
        <v>2109.4854901822291</v>
      </c>
      <c r="E71" s="34" t="str">
        <f>IF($C71="não",'Municípios RJ'!P61,"")</f>
        <v/>
      </c>
      <c r="F71" s="34" t="str">
        <f>IF(AND($B71="",$C71="não"),'Municípios RJ'!P61,"")</f>
        <v/>
      </c>
      <c r="G71" s="35">
        <f>IF($B71="",'Municípios RJ'!Q61,"")</f>
        <v>0.20534701260976876</v>
      </c>
      <c r="H71" s="35" t="str">
        <f>IF($C71="não",'Municípios RJ'!Q61,"")</f>
        <v/>
      </c>
      <c r="I71" s="35" t="str">
        <f>IF(AND($B71="",$C71="não"),'Municípios RJ'!Q61,"")</f>
        <v/>
      </c>
      <c r="J71" s="35">
        <f>IF($B71="",'Municípios RJ'!V61,"")</f>
        <v>0.49124134867249314</v>
      </c>
      <c r="K71" s="35" t="str">
        <f>IF($C71="não",'Municípios RJ'!V61,"")</f>
        <v/>
      </c>
      <c r="L71" s="35" t="str">
        <f>IF(AND($B71="",$C71="não"),'Municípios RJ'!V61,"")</f>
        <v/>
      </c>
      <c r="M71" s="35">
        <f>IF($B71="",'Municípios RJ'!S61,"")</f>
        <v>1.0449589389127669</v>
      </c>
      <c r="N71" s="35" t="str">
        <f>IF($C71="não",'Municípios RJ'!S61,"")</f>
        <v/>
      </c>
      <c r="O71" s="35" t="str">
        <f>IF(AND($B71="",$C71="não"),'Municípios RJ'!S61,"")</f>
        <v/>
      </c>
    </row>
    <row r="72" spans="1:15" x14ac:dyDescent="0.25">
      <c r="A72" s="33" t="str">
        <f>'Municípios RJ'!A62</f>
        <v>Queimados</v>
      </c>
      <c r="B72" s="33" t="str">
        <f>'Municípios RJ'!O62&amp;""</f>
        <v/>
      </c>
      <c r="C72" s="33" t="str">
        <f>'Municípios RJ'!N62</f>
        <v>não</v>
      </c>
      <c r="D72" s="34">
        <f>IF($B72="",'Municípios RJ'!P62,"")</f>
        <v>1003.3657870590839</v>
      </c>
      <c r="E72" s="34">
        <f>IF($C72="não",'Municípios RJ'!P62,"")</f>
        <v>1003.3657870590839</v>
      </c>
      <c r="F72" s="34">
        <f>IF(AND($B72="",$C72="não"),'Municípios RJ'!P62,"")</f>
        <v>1003.3657870590839</v>
      </c>
      <c r="G72" s="35">
        <f>IF($B72="",'Municípios RJ'!Q62,"")</f>
        <v>0.28389627721299981</v>
      </c>
      <c r="H72" s="35">
        <f>IF($C72="não",'Municípios RJ'!Q62,"")</f>
        <v>0.28389627721299981</v>
      </c>
      <c r="I72" s="35">
        <f>IF(AND($B72="",$C72="não"),'Municípios RJ'!Q62,"")</f>
        <v>0.28389627721299981</v>
      </c>
      <c r="J72" s="35">
        <f>IF($B72="",'Municípios RJ'!V62,"")</f>
        <v>0.46004523733431596</v>
      </c>
      <c r="K72" s="35">
        <f>IF($C72="não",'Municípios RJ'!V62,"")</f>
        <v>0.46004523733431596</v>
      </c>
      <c r="L72" s="35">
        <f>IF(AND($B72="",$C72="não"),'Municípios RJ'!V62,"")</f>
        <v>0.46004523733431596</v>
      </c>
      <c r="M72" s="35">
        <f>IF($B72="",'Municípios RJ'!S62,"")</f>
        <v>0.98762071914559357</v>
      </c>
      <c r="N72" s="35">
        <f>IF($C72="não",'Municípios RJ'!S62,"")</f>
        <v>0.98762071914559357</v>
      </c>
      <c r="O72" s="35">
        <f>IF(AND($B72="",$C72="não"),'Municípios RJ'!S62,"")</f>
        <v>0.98762071914559357</v>
      </c>
    </row>
    <row r="73" spans="1:15" x14ac:dyDescent="0.25">
      <c r="A73" s="33" t="str">
        <f>'Municípios RJ'!A63</f>
        <v>Quissamã</v>
      </c>
      <c r="B73" s="33" t="str">
        <f>'Municípios RJ'!O63&amp;""</f>
        <v/>
      </c>
      <c r="C73" s="33" t="str">
        <f>'Municípios RJ'!N63</f>
        <v>sim</v>
      </c>
      <c r="D73" s="34">
        <f>IF($B73="",'Municípios RJ'!P63,"")</f>
        <v>5521.3953294992652</v>
      </c>
      <c r="E73" s="34" t="str">
        <f>IF($C73="não",'Municípios RJ'!P63,"")</f>
        <v/>
      </c>
      <c r="F73" s="34" t="str">
        <f>IF(AND($B73="",$C73="não"),'Municípios RJ'!P63,"")</f>
        <v/>
      </c>
      <c r="G73" s="35">
        <f>IF($B73="",'Municípios RJ'!Q63,"")</f>
        <v>0.26773661607231342</v>
      </c>
      <c r="H73" s="35" t="str">
        <f>IF($C73="não",'Municípios RJ'!Q63,"")</f>
        <v/>
      </c>
      <c r="I73" s="35" t="str">
        <f>IF(AND($B73="",$C73="não"),'Municípios RJ'!Q63,"")</f>
        <v/>
      </c>
      <c r="J73" s="35">
        <f>IF($B73="",'Municípios RJ'!V63,"")</f>
        <v>0.42807419638860666</v>
      </c>
      <c r="K73" s="35" t="str">
        <f>IF($C73="não",'Municípios RJ'!V63,"")</f>
        <v/>
      </c>
      <c r="L73" s="35" t="str">
        <f>IF(AND($B73="",$C73="não"),'Municípios RJ'!V63,"")</f>
        <v/>
      </c>
      <c r="M73" s="35">
        <f>IF($B73="",'Municípios RJ'!S63,"")</f>
        <v>0.98924006102338624</v>
      </c>
      <c r="N73" s="35" t="str">
        <f>IF($C73="não",'Municípios RJ'!S63,"")</f>
        <v/>
      </c>
      <c r="O73" s="35" t="str">
        <f>IF(AND($B73="",$C73="não"),'Municípios RJ'!S63,"")</f>
        <v/>
      </c>
    </row>
    <row r="74" spans="1:15" x14ac:dyDescent="0.25">
      <c r="A74" s="33" t="str">
        <f>'Municípios RJ'!A64</f>
        <v>Resende</v>
      </c>
      <c r="B74" s="33" t="str">
        <f>'Municípios RJ'!O64&amp;""</f>
        <v/>
      </c>
      <c r="C74" s="33" t="str">
        <f>'Municípios RJ'!N64</f>
        <v>não</v>
      </c>
      <c r="D74" s="34">
        <f>IF($B74="",'Municípios RJ'!P64,"")</f>
        <v>2668.5911393628462</v>
      </c>
      <c r="E74" s="34">
        <f>IF($C74="não",'Municípios RJ'!P64,"")</f>
        <v>2668.5911393628462</v>
      </c>
      <c r="F74" s="34">
        <f>IF(AND($B74="",$C74="não"),'Municípios RJ'!P64,"")</f>
        <v>2668.5911393628462</v>
      </c>
      <c r="G74" s="35">
        <f>IF($B74="",'Municípios RJ'!Q64,"")</f>
        <v>0.37851762668071243</v>
      </c>
      <c r="H74" s="35">
        <f>IF($C74="não",'Municípios RJ'!Q64,"")</f>
        <v>0.37851762668071243</v>
      </c>
      <c r="I74" s="35">
        <f>IF(AND($B74="",$C74="não"),'Municípios RJ'!Q64,"")</f>
        <v>0.37851762668071243</v>
      </c>
      <c r="J74" s="35">
        <f>IF($B74="",'Municípios RJ'!V64,"")</f>
        <v>0.52660708169455928</v>
      </c>
      <c r="K74" s="35">
        <f>IF($C74="não",'Municípios RJ'!V64,"")</f>
        <v>0.52660708169455928</v>
      </c>
      <c r="L74" s="35">
        <f>IF(AND($B74="",$C74="não"),'Municípios RJ'!V64,"")</f>
        <v>0.52660708169455928</v>
      </c>
      <c r="M74" s="35">
        <f>IF($B74="",'Municípios RJ'!S64,"")</f>
        <v>0.95297178894136703</v>
      </c>
      <c r="N74" s="35">
        <f>IF($C74="não",'Municípios RJ'!S64,"")</f>
        <v>0.95297178894136703</v>
      </c>
      <c r="O74" s="35">
        <f>IF(AND($B74="",$C74="não"),'Municípios RJ'!S64,"")</f>
        <v>0.95297178894136703</v>
      </c>
    </row>
    <row r="75" spans="1:15" x14ac:dyDescent="0.25">
      <c r="A75" s="33" t="str">
        <f>'Municípios RJ'!A65</f>
        <v>Rio Bonito</v>
      </c>
      <c r="B75" s="33" t="str">
        <f>'Municípios RJ'!O65&amp;""</f>
        <v/>
      </c>
      <c r="C75" s="33" t="str">
        <f>'Municípios RJ'!N65</f>
        <v>não</v>
      </c>
      <c r="D75" s="34">
        <f>IF($B75="",'Municípios RJ'!P65,"")</f>
        <v>3204.3560095072148</v>
      </c>
      <c r="E75" s="34">
        <f>IF($C75="não",'Municípios RJ'!P65,"")</f>
        <v>3204.3560095072148</v>
      </c>
      <c r="F75" s="34">
        <f>IF(AND($B75="",$C75="não"),'Municípios RJ'!P65,"")</f>
        <v>3204.3560095072148</v>
      </c>
      <c r="G75" s="35">
        <f>IF($B75="",'Municípios RJ'!Q65,"")</f>
        <v>0.36515214640117905</v>
      </c>
      <c r="H75" s="35">
        <f>IF($C75="não",'Municípios RJ'!Q65,"")</f>
        <v>0.36515214640117905</v>
      </c>
      <c r="I75" s="35">
        <f>IF(AND($B75="",$C75="não"),'Municípios RJ'!Q65,"")</f>
        <v>0.36515214640117905</v>
      </c>
      <c r="J75" s="35">
        <f>IF($B75="",'Municípios RJ'!V65,"")</f>
        <v>0.5207484306914294</v>
      </c>
      <c r="K75" s="35">
        <f>IF($C75="não",'Municípios RJ'!V65,"")</f>
        <v>0.5207484306914294</v>
      </c>
      <c r="L75" s="35">
        <f>IF(AND($B75="",$C75="não"),'Municípios RJ'!V65,"")</f>
        <v>0.5207484306914294</v>
      </c>
      <c r="M75" s="35">
        <f>IF($B75="",'Municípios RJ'!S65,"")</f>
        <v>1.2217405370067866</v>
      </c>
      <c r="N75" s="35">
        <f>IF($C75="não",'Municípios RJ'!S65,"")</f>
        <v>1.2217405370067866</v>
      </c>
      <c r="O75" s="35">
        <f>IF(AND($B75="",$C75="não"),'Municípios RJ'!S65,"")</f>
        <v>1.2217405370067866</v>
      </c>
    </row>
    <row r="76" spans="1:15" x14ac:dyDescent="0.25">
      <c r="A76" s="33" t="str">
        <f>'Municípios RJ'!A66</f>
        <v>Rio Claro</v>
      </c>
      <c r="B76" s="33" t="str">
        <f>'Municípios RJ'!O66&amp;""</f>
        <v/>
      </c>
      <c r="C76" s="33" t="str">
        <f>'Municípios RJ'!N66</f>
        <v>não</v>
      </c>
      <c r="D76" s="34">
        <f>IF($B76="",'Municípios RJ'!P66,"")</f>
        <v>3341.5496061281337</v>
      </c>
      <c r="E76" s="34">
        <f>IF($C76="não",'Municípios RJ'!P66,"")</f>
        <v>3341.5496061281337</v>
      </c>
      <c r="F76" s="34">
        <f>IF(AND($B76="",$C76="não"),'Municípios RJ'!P66,"")</f>
        <v>3341.5496061281337</v>
      </c>
      <c r="G76" s="35">
        <f>IF($B76="",'Municípios RJ'!Q66,"")</f>
        <v>0.30417328662282495</v>
      </c>
      <c r="H76" s="35">
        <f>IF($C76="não",'Municípios RJ'!Q66,"")</f>
        <v>0.30417328662282495</v>
      </c>
      <c r="I76" s="35">
        <f>IF(AND($B76="",$C76="não"),'Municípios RJ'!Q66,"")</f>
        <v>0.30417328662282495</v>
      </c>
      <c r="J76" s="35">
        <f>IF($B76="",'Municípios RJ'!V66,"")</f>
        <v>0.51413024735642876</v>
      </c>
      <c r="K76" s="35">
        <f>IF($C76="não",'Municípios RJ'!V66,"")</f>
        <v>0.51413024735642876</v>
      </c>
      <c r="L76" s="35">
        <f>IF(AND($B76="",$C76="não"),'Municípios RJ'!V66,"")</f>
        <v>0.51413024735642876</v>
      </c>
      <c r="M76" s="35">
        <f>IF($B76="",'Municípios RJ'!S66,"")</f>
        <v>1.0152206253202456</v>
      </c>
      <c r="N76" s="35">
        <f>IF($C76="não",'Municípios RJ'!S66,"")</f>
        <v>1.0152206253202456</v>
      </c>
      <c r="O76" s="35">
        <f>IF(AND($B76="",$C76="não"),'Municípios RJ'!S66,"")</f>
        <v>1.0152206253202456</v>
      </c>
    </row>
    <row r="77" spans="1:15" x14ac:dyDescent="0.25">
      <c r="A77" s="33" t="str">
        <f>'Municípios RJ'!A67</f>
        <v>Rio das Flores</v>
      </c>
      <c r="B77" s="33" t="str">
        <f>'Municípios RJ'!O67&amp;""</f>
        <v/>
      </c>
      <c r="C77" s="33" t="str">
        <f>'Municípios RJ'!N67</f>
        <v>sim</v>
      </c>
      <c r="D77" s="34">
        <f>IF($B77="",'Municípios RJ'!P67,"")</f>
        <v>3717.0016191709847</v>
      </c>
      <c r="E77" s="34" t="str">
        <f>IF($C77="não",'Municípios RJ'!P67,"")</f>
        <v/>
      </c>
      <c r="F77" s="34" t="str">
        <f>IF(AND($B77="",$C77="não"),'Municípios RJ'!P67,"")</f>
        <v/>
      </c>
      <c r="G77" s="35">
        <f>IF($B77="",'Municípios RJ'!Q67,"")</f>
        <v>0.29555046370778648</v>
      </c>
      <c r="H77" s="35" t="str">
        <f>IF($C77="não",'Municípios RJ'!Q67,"")</f>
        <v/>
      </c>
      <c r="I77" s="35" t="str">
        <f>IF(AND($B77="",$C77="não"),'Municípios RJ'!Q67,"")</f>
        <v/>
      </c>
      <c r="J77" s="35">
        <f>IF($B77="",'Municípios RJ'!V67,"")</f>
        <v>0.42986581232337467</v>
      </c>
      <c r="K77" s="35" t="str">
        <f>IF($C77="não",'Municípios RJ'!V67,"")</f>
        <v/>
      </c>
      <c r="L77" s="35" t="str">
        <f>IF(AND($B77="",$C77="não"),'Municípios RJ'!V67,"")</f>
        <v/>
      </c>
      <c r="M77" s="35">
        <f>IF($B77="",'Municípios RJ'!S67,"")</f>
        <v>1.1247998771116499</v>
      </c>
      <c r="N77" s="35" t="str">
        <f>IF($C77="não",'Municípios RJ'!S67,"")</f>
        <v/>
      </c>
      <c r="O77" s="35" t="str">
        <f>IF(AND($B77="",$C77="não"),'Municípios RJ'!S67,"")</f>
        <v/>
      </c>
    </row>
    <row r="78" spans="1:15" x14ac:dyDescent="0.25">
      <c r="A78" s="33" t="str">
        <f>'Municípios RJ'!A68</f>
        <v>Rio das Ostras</v>
      </c>
      <c r="B78" s="33" t="str">
        <f>'Municípios RJ'!O68&amp;""</f>
        <v/>
      </c>
      <c r="C78" s="33" t="str">
        <f>'Municípios RJ'!N68</f>
        <v>não</v>
      </c>
      <c r="D78" s="34">
        <f>IF($B78="",'Municípios RJ'!P68,"")</f>
        <v>1615.5287124849049</v>
      </c>
      <c r="E78" s="34">
        <f>IF($C78="não",'Municípios RJ'!P68,"")</f>
        <v>1615.5287124849049</v>
      </c>
      <c r="F78" s="34">
        <f>IF(AND($B78="",$C78="não"),'Municípios RJ'!P68,"")</f>
        <v>1615.5287124849049</v>
      </c>
      <c r="G78" s="35">
        <f>IF($B78="",'Municípios RJ'!Q68,"")</f>
        <v>0.24832361017568608</v>
      </c>
      <c r="H78" s="35">
        <f>IF($C78="não",'Municípios RJ'!Q68,"")</f>
        <v>0.24832361017568608</v>
      </c>
      <c r="I78" s="35">
        <f>IF(AND($B78="",$C78="não"),'Municípios RJ'!Q68,"")</f>
        <v>0.24832361017568608</v>
      </c>
      <c r="J78" s="35">
        <f>IF($B78="",'Municípios RJ'!V68,"")</f>
        <v>0.56470526206176008</v>
      </c>
      <c r="K78" s="35">
        <f>IF($C78="não",'Municípios RJ'!V68,"")</f>
        <v>0.56470526206176008</v>
      </c>
      <c r="L78" s="35">
        <f>IF(AND($B78="",$C78="não"),'Municípios RJ'!V68,"")</f>
        <v>0.56470526206176008</v>
      </c>
      <c r="M78" s="35">
        <f>IF($B78="",'Municípios RJ'!S68,"")</f>
        <v>0.99596353826799988</v>
      </c>
      <c r="N78" s="35">
        <f>IF($C78="não",'Municípios RJ'!S68,"")</f>
        <v>0.99596353826799988</v>
      </c>
      <c r="O78" s="35">
        <f>IF(AND($B78="",$C78="não"),'Municípios RJ'!S68,"")</f>
        <v>0.99596353826799988</v>
      </c>
    </row>
    <row r="79" spans="1:15" x14ac:dyDescent="0.25">
      <c r="A79" s="33" t="str">
        <f>'Municípios RJ'!A69</f>
        <v>Rio de Janeiro (capital)</v>
      </c>
      <c r="B79" s="33" t="str">
        <f>'Municípios RJ'!O69&amp;""</f>
        <v/>
      </c>
      <c r="C79" s="33" t="str">
        <f>'Municípios RJ'!N69</f>
        <v>não</v>
      </c>
      <c r="D79" s="34">
        <f>IF($B79="",'Municípios RJ'!P69,"")</f>
        <v>1135.6262502930954</v>
      </c>
      <c r="E79" s="34">
        <f>IF($C79="não",'Municípios RJ'!P69,"")</f>
        <v>1135.6262502930954</v>
      </c>
      <c r="F79" s="34">
        <f>IF(AND($B79="",$C79="não"),'Municípios RJ'!P69,"")</f>
        <v>1135.6262502930954</v>
      </c>
      <c r="G79" s="35">
        <f>IF($B79="",'Municípios RJ'!Q69,"")</f>
        <v>0.19283011556625787</v>
      </c>
      <c r="H79" s="35">
        <f>IF($C79="não",'Municípios RJ'!Q69,"")</f>
        <v>0.19283011556625787</v>
      </c>
      <c r="I79" s="35">
        <f>IF(AND($B79="",$C79="não"),'Municípios RJ'!Q69,"")</f>
        <v>0.19283011556625787</v>
      </c>
      <c r="J79" s="35">
        <f>IF($B79="",'Municípios RJ'!V69,"")</f>
        <v>0.48813156679916181</v>
      </c>
      <c r="K79" s="35">
        <f>IF($C79="não",'Municípios RJ'!V69,"")</f>
        <v>0.48813156679916181</v>
      </c>
      <c r="L79" s="35">
        <f>IF(AND($B79="",$C79="não"),'Municípios RJ'!V69,"")</f>
        <v>0.48813156679916181</v>
      </c>
      <c r="M79" s="35">
        <f>IF($B79="",'Municípios RJ'!S69,"")</f>
        <v>1.0078599163473878</v>
      </c>
      <c r="N79" s="35">
        <f>IF($C79="não",'Municípios RJ'!S69,"")</f>
        <v>1.0078599163473878</v>
      </c>
      <c r="O79" s="35">
        <f>IF(AND($B79="",$C79="não"),'Municípios RJ'!S69,"")</f>
        <v>1.0078599163473878</v>
      </c>
    </row>
    <row r="80" spans="1:15" x14ac:dyDescent="0.25">
      <c r="A80" s="33" t="str">
        <f>'Municípios RJ'!A70</f>
        <v>Santa Maria Madalena</v>
      </c>
      <c r="B80" s="33" t="str">
        <f>'Municípios RJ'!O70&amp;""</f>
        <v/>
      </c>
      <c r="C80" s="33" t="str">
        <f>'Municípios RJ'!N70</f>
        <v>não</v>
      </c>
      <c r="D80" s="34">
        <f>IF($B80="",'Municípios RJ'!P70,"")</f>
        <v>2514.2985348331599</v>
      </c>
      <c r="E80" s="34">
        <f>IF($C80="não",'Municípios RJ'!P70,"")</f>
        <v>2514.2985348331599</v>
      </c>
      <c r="F80" s="34">
        <f>IF(AND($B80="",$C80="não"),'Municípios RJ'!P70,"")</f>
        <v>2514.2985348331599</v>
      </c>
      <c r="G80" s="35">
        <f>IF($B80="",'Municípios RJ'!Q70,"")</f>
        <v>0.27132559374372778</v>
      </c>
      <c r="H80" s="35">
        <f>IF($C80="não",'Municípios RJ'!Q70,"")</f>
        <v>0.27132559374372778</v>
      </c>
      <c r="I80" s="35">
        <f>IF(AND($B80="",$C80="não"),'Municípios RJ'!Q70,"")</f>
        <v>0.27132559374372778</v>
      </c>
      <c r="J80" s="35">
        <f>IF($B80="",'Municípios RJ'!V70,"")</f>
        <v>0.43991416169685976</v>
      </c>
      <c r="K80" s="35">
        <f>IF($C80="não",'Municípios RJ'!V70,"")</f>
        <v>0.43991416169685976</v>
      </c>
      <c r="L80" s="35">
        <f>IF(AND($B80="",$C80="não"),'Municípios RJ'!V70,"")</f>
        <v>0.43991416169685976</v>
      </c>
      <c r="M80" s="35">
        <f>IF($B80="",'Municípios RJ'!S70,"")</f>
        <v>0.96479774215748793</v>
      </c>
      <c r="N80" s="35">
        <f>IF($C80="não",'Municípios RJ'!S70,"")</f>
        <v>0.96479774215748793</v>
      </c>
      <c r="O80" s="35">
        <f>IF(AND($B80="",$C80="não"),'Municípios RJ'!S70,"")</f>
        <v>0.96479774215748793</v>
      </c>
    </row>
    <row r="81" spans="1:15" x14ac:dyDescent="0.25">
      <c r="A81" s="33" t="str">
        <f>'Municípios RJ'!A71</f>
        <v>Santo Antônio de Pádua</v>
      </c>
      <c r="B81" s="33" t="str">
        <f>'Municípios RJ'!O71&amp;""</f>
        <v/>
      </c>
      <c r="C81" s="33" t="str">
        <f>'Municípios RJ'!N71</f>
        <v>não</v>
      </c>
      <c r="D81" s="34">
        <f>IF($B81="",'Municípios RJ'!P71,"")</f>
        <v>2253.4202257015977</v>
      </c>
      <c r="E81" s="34">
        <f>IF($C81="não",'Municípios RJ'!P71,"")</f>
        <v>2253.4202257015977</v>
      </c>
      <c r="F81" s="34">
        <f>IF(AND($B81="",$C81="não"),'Municípios RJ'!P71,"")</f>
        <v>2253.4202257015977</v>
      </c>
      <c r="G81" s="35">
        <f>IF($B81="",'Municípios RJ'!Q71,"")</f>
        <v>0.34889674734906462</v>
      </c>
      <c r="H81" s="35">
        <f>IF($C81="não",'Municípios RJ'!Q71,"")</f>
        <v>0.34889674734906462</v>
      </c>
      <c r="I81" s="35">
        <f>IF(AND($B81="",$C81="não"),'Municípios RJ'!Q71,"")</f>
        <v>0.34889674734906462</v>
      </c>
      <c r="J81" s="35">
        <f>IF($B81="",'Municípios RJ'!V71,"")</f>
        <v>0.38474558082585858</v>
      </c>
      <c r="K81" s="35">
        <f>IF($C81="não",'Municípios RJ'!V71,"")</f>
        <v>0.38474558082585858</v>
      </c>
      <c r="L81" s="35">
        <f>IF(AND($B81="",$C81="não"),'Municípios RJ'!V71,"")</f>
        <v>0.38474558082585858</v>
      </c>
      <c r="M81" s="35">
        <f>IF($B81="",'Municípios RJ'!S71,"")</f>
        <v>1.111921580822719</v>
      </c>
      <c r="N81" s="35">
        <f>IF($C81="não",'Municípios RJ'!S71,"")</f>
        <v>1.111921580822719</v>
      </c>
      <c r="O81" s="35">
        <f>IF(AND($B81="",$C81="não"),'Municípios RJ'!S71,"")</f>
        <v>1.111921580822719</v>
      </c>
    </row>
    <row r="82" spans="1:15" x14ac:dyDescent="0.25">
      <c r="A82" s="33" t="str">
        <f>'Municípios RJ'!A72</f>
        <v>Sapucaia</v>
      </c>
      <c r="B82" s="33" t="str">
        <f>'Municípios RJ'!O72&amp;""</f>
        <v/>
      </c>
      <c r="C82" s="33" t="str">
        <f>'Municípios RJ'!N72</f>
        <v>não</v>
      </c>
      <c r="D82" s="34">
        <f>IF($B82="",'Municípios RJ'!P72,"")</f>
        <v>2237.8668363497186</v>
      </c>
      <c r="E82" s="34">
        <f>IF($C82="não",'Municípios RJ'!P72,"")</f>
        <v>2237.8668363497186</v>
      </c>
      <c r="F82" s="34">
        <f>IF(AND($B82="",$C82="não"),'Municípios RJ'!P72,"")</f>
        <v>2237.8668363497186</v>
      </c>
      <c r="G82" s="35">
        <f>IF($B82="",'Municípios RJ'!Q72,"")</f>
        <v>0.24001117198680952</v>
      </c>
      <c r="H82" s="35">
        <f>IF($C82="não",'Municípios RJ'!Q72,"")</f>
        <v>0.24001117198680952</v>
      </c>
      <c r="I82" s="35">
        <f>IF(AND($B82="",$C82="não"),'Municípios RJ'!Q72,"")</f>
        <v>0.24001117198680952</v>
      </c>
      <c r="J82" s="35">
        <f>IF($B82="",'Municípios RJ'!V72,"")</f>
        <v>0.33652297167252399</v>
      </c>
      <c r="K82" s="35">
        <f>IF($C82="não",'Municípios RJ'!V72,"")</f>
        <v>0.33652297167252399</v>
      </c>
      <c r="L82" s="35">
        <f>IF(AND($B82="",$C82="não"),'Municípios RJ'!V72,"")</f>
        <v>0.33652297167252399</v>
      </c>
      <c r="M82" s="35">
        <f>IF($B82="",'Municípios RJ'!S72,"")</f>
        <v>0.9900634660837484</v>
      </c>
      <c r="N82" s="35">
        <f>IF($C82="não",'Municípios RJ'!S72,"")</f>
        <v>0.9900634660837484</v>
      </c>
      <c r="O82" s="35">
        <f>IF(AND($B82="",$C82="não"),'Municípios RJ'!S72,"")</f>
        <v>0.9900634660837484</v>
      </c>
    </row>
    <row r="83" spans="1:15" x14ac:dyDescent="0.25">
      <c r="A83" s="33" t="str">
        <f>'Municípios RJ'!A73</f>
        <v>Saquarema</v>
      </c>
      <c r="B83" s="33" t="str">
        <f>'Municípios RJ'!O73&amp;""</f>
        <v/>
      </c>
      <c r="C83" s="33" t="str">
        <f>'Municípios RJ'!N73</f>
        <v>não</v>
      </c>
      <c r="D83" s="34">
        <f>IF($B83="",'Municípios RJ'!P73,"")</f>
        <v>4993.2047137109903</v>
      </c>
      <c r="E83" s="34">
        <f>IF($C83="não",'Municípios RJ'!P73,"")</f>
        <v>4993.2047137109903</v>
      </c>
      <c r="F83" s="34">
        <f>IF(AND($B83="",$C83="não"),'Municípios RJ'!P73,"")</f>
        <v>4993.2047137109903</v>
      </c>
      <c r="G83" s="35">
        <f>IF($B83="",'Municípios RJ'!Q73,"")</f>
        <v>0.18557403605343059</v>
      </c>
      <c r="H83" s="35">
        <f>IF($C83="não",'Municípios RJ'!Q73,"")</f>
        <v>0.18557403605343059</v>
      </c>
      <c r="I83" s="35">
        <f>IF(AND($B83="",$C83="não"),'Municípios RJ'!Q73,"")</f>
        <v>0.18557403605343059</v>
      </c>
      <c r="J83" s="35">
        <f>IF($B83="",'Municípios RJ'!V73,"")</f>
        <v>0.18591985472071068</v>
      </c>
      <c r="K83" s="35">
        <f>IF($C83="não",'Municípios RJ'!V73,"")</f>
        <v>0.18591985472071068</v>
      </c>
      <c r="L83" s="35">
        <f>IF(AND($B83="",$C83="não"),'Municípios RJ'!V73,"")</f>
        <v>0.18591985472071068</v>
      </c>
      <c r="M83" s="35">
        <f>IF($B83="",'Municípios RJ'!S73,"")</f>
        <v>0.83570853341820617</v>
      </c>
      <c r="N83" s="35">
        <f>IF($C83="não",'Municípios RJ'!S73,"")</f>
        <v>0.83570853341820617</v>
      </c>
      <c r="O83" s="35">
        <f>IF(AND($B83="",$C83="não"),'Municípios RJ'!S73,"")</f>
        <v>0.83570853341820617</v>
      </c>
    </row>
    <row r="84" spans="1:15" x14ac:dyDescent="0.25">
      <c r="A84" s="33" t="str">
        <f>'Municípios RJ'!A74</f>
        <v>Seropédica</v>
      </c>
      <c r="B84" s="33" t="str">
        <f>'Municípios RJ'!O74&amp;""</f>
        <v/>
      </c>
      <c r="C84" s="33" t="str">
        <f>'Municípios RJ'!N74</f>
        <v>não</v>
      </c>
      <c r="D84" s="34">
        <f>IF($B84="",'Municípios RJ'!P74,"")</f>
        <v>1642.7175271723095</v>
      </c>
      <c r="E84" s="34">
        <f>IF($C84="não",'Municípios RJ'!P74,"")</f>
        <v>1642.7175271723095</v>
      </c>
      <c r="F84" s="34">
        <f>IF(AND($B84="",$C84="não"),'Municípios RJ'!P74,"")</f>
        <v>1642.7175271723095</v>
      </c>
      <c r="G84" s="35">
        <f>IF($B84="",'Municípios RJ'!Q74,"")</f>
        <v>0.27169839113260463</v>
      </c>
      <c r="H84" s="35">
        <f>IF($C84="não",'Municípios RJ'!Q74,"")</f>
        <v>0.27169839113260463</v>
      </c>
      <c r="I84" s="35">
        <f>IF(AND($B84="",$C84="não"),'Municípios RJ'!Q74,"")</f>
        <v>0.27169839113260463</v>
      </c>
      <c r="J84" s="35">
        <f>IF($B84="",'Municípios RJ'!V74,"")</f>
        <v>0.66089467814579261</v>
      </c>
      <c r="K84" s="35">
        <f>IF($C84="não",'Municípios RJ'!V74,"")</f>
        <v>0.66089467814579261</v>
      </c>
      <c r="L84" s="35">
        <f>IF(AND($B84="",$C84="não"),'Municípios RJ'!V74,"")</f>
        <v>0.66089467814579261</v>
      </c>
      <c r="M84" s="35">
        <f>IF($B84="",'Municípios RJ'!S74,"")</f>
        <v>1.0628853869067294</v>
      </c>
      <c r="N84" s="35">
        <f>IF($C84="não",'Municípios RJ'!S74,"")</f>
        <v>1.0628853869067294</v>
      </c>
      <c r="O84" s="35">
        <f>IF(AND($B84="",$C84="não"),'Municípios RJ'!S74,"")</f>
        <v>1.0628853869067294</v>
      </c>
    </row>
    <row r="85" spans="1:15" x14ac:dyDescent="0.25">
      <c r="A85" s="33" t="str">
        <f>'Municípios RJ'!A75</f>
        <v>Silva Jardim</v>
      </c>
      <c r="B85" s="33" t="str">
        <f>'Municípios RJ'!O75&amp;""</f>
        <v/>
      </c>
      <c r="C85" s="33" t="str">
        <f>'Municípios RJ'!N75</f>
        <v>não</v>
      </c>
      <c r="D85" s="34">
        <f>IF($B85="",'Municípios RJ'!P75,"")</f>
        <v>3937.2246236266233</v>
      </c>
      <c r="E85" s="34">
        <f>IF($C85="não",'Municípios RJ'!P75,"")</f>
        <v>3937.2246236266233</v>
      </c>
      <c r="F85" s="34">
        <f>IF(AND($B85="",$C85="não"),'Municípios RJ'!P75,"")</f>
        <v>3937.2246236266233</v>
      </c>
      <c r="G85" s="35">
        <f>IF($B85="",'Municípios RJ'!Q75,"")</f>
        <v>0.2561789883112548</v>
      </c>
      <c r="H85" s="35">
        <f>IF($C85="não",'Municípios RJ'!Q75,"")</f>
        <v>0.2561789883112548</v>
      </c>
      <c r="I85" s="35">
        <f>IF(AND($B85="",$C85="não"),'Municípios RJ'!Q75,"")</f>
        <v>0.2561789883112548</v>
      </c>
      <c r="J85" s="35">
        <f>IF($B85="",'Municípios RJ'!V75,"")</f>
        <v>0.4231233482074136</v>
      </c>
      <c r="K85" s="35">
        <f>IF($C85="não",'Municípios RJ'!V75,"")</f>
        <v>0.4231233482074136</v>
      </c>
      <c r="L85" s="35">
        <f>IF(AND($B85="",$C85="não"),'Municípios RJ'!V75,"")</f>
        <v>0.4231233482074136</v>
      </c>
      <c r="M85" s="35">
        <f>IF($B85="",'Municípios RJ'!S75,"")</f>
        <v>1.0083658944619243</v>
      </c>
      <c r="N85" s="35">
        <f>IF($C85="não",'Municípios RJ'!S75,"")</f>
        <v>1.0083658944619243</v>
      </c>
      <c r="O85" s="35">
        <f>IF(AND($B85="",$C85="não"),'Municípios RJ'!S75,"")</f>
        <v>1.0083658944619243</v>
      </c>
    </row>
    <row r="86" spans="1:15" x14ac:dyDescent="0.25">
      <c r="A86" s="33" t="str">
        <f>'Municípios RJ'!A76</f>
        <v>Sumidouro</v>
      </c>
      <c r="B86" s="33" t="str">
        <f>'Municípios RJ'!O76&amp;""</f>
        <v/>
      </c>
      <c r="C86" s="33" t="str">
        <f>'Municípios RJ'!N76</f>
        <v>não</v>
      </c>
      <c r="D86" s="34">
        <f>IF($B86="",'Municípios RJ'!P76,"")</f>
        <v>2704.8427680050991</v>
      </c>
      <c r="E86" s="34">
        <f>IF($C86="não",'Municípios RJ'!P76,"")</f>
        <v>2704.8427680050991</v>
      </c>
      <c r="F86" s="34">
        <f>IF(AND($B86="",$C86="não"),'Municípios RJ'!P76,"")</f>
        <v>2704.8427680050991</v>
      </c>
      <c r="G86" s="35">
        <f>IF($B86="",'Municípios RJ'!Q76,"")</f>
        <v>0.30773438629105537</v>
      </c>
      <c r="H86" s="35">
        <f>IF($C86="não",'Municípios RJ'!Q76,"")</f>
        <v>0.30773438629105537</v>
      </c>
      <c r="I86" s="35">
        <f>IF(AND($B86="",$C86="não"),'Municípios RJ'!Q76,"")</f>
        <v>0.30773438629105537</v>
      </c>
      <c r="J86" s="35">
        <f>IF($B86="",'Municípios RJ'!V76,"")</f>
        <v>0.56970189406139404</v>
      </c>
      <c r="K86" s="35">
        <f>IF($C86="não",'Municípios RJ'!V76,"")</f>
        <v>0.56970189406139404</v>
      </c>
      <c r="L86" s="35">
        <f>IF(AND($B86="",$C86="não"),'Municípios RJ'!V76,"")</f>
        <v>0.56970189406139404</v>
      </c>
      <c r="M86" s="35">
        <f>IF($B86="",'Municípios RJ'!S76,"")</f>
        <v>1.0182050061574519</v>
      </c>
      <c r="N86" s="35">
        <f>IF($C86="não",'Municípios RJ'!S76,"")</f>
        <v>1.0182050061574519</v>
      </c>
      <c r="O86" s="35">
        <f>IF(AND($B86="",$C86="não"),'Municípios RJ'!S76,"")</f>
        <v>1.0182050061574519</v>
      </c>
    </row>
    <row r="87" spans="1:15" x14ac:dyDescent="0.25">
      <c r="A87" s="33" t="str">
        <f>'Municípios RJ'!A77</f>
        <v>São Fidélis</v>
      </c>
      <c r="B87" s="33" t="str">
        <f>'Municípios RJ'!O77&amp;""</f>
        <v/>
      </c>
      <c r="C87" s="33" t="str">
        <f>'Municípios RJ'!N77</f>
        <v>não</v>
      </c>
      <c r="D87" s="34">
        <f>IF($B87="",'Municípios RJ'!P77,"")</f>
        <v>1456.3565929557979</v>
      </c>
      <c r="E87" s="34">
        <f>IF($C87="não",'Municípios RJ'!P77,"")</f>
        <v>1456.3565929557979</v>
      </c>
      <c r="F87" s="34">
        <f>IF(AND($B87="",$C87="não"),'Municípios RJ'!P77,"")</f>
        <v>1456.3565929557979</v>
      </c>
      <c r="G87" s="35">
        <f>IF($B87="",'Municípios RJ'!Q77,"")</f>
        <v>0.27028550639663473</v>
      </c>
      <c r="H87" s="35">
        <f>IF($C87="não",'Municípios RJ'!Q77,"")</f>
        <v>0.27028550639663473</v>
      </c>
      <c r="I87" s="35">
        <f>IF(AND($B87="",$C87="não"),'Municípios RJ'!Q77,"")</f>
        <v>0.27028550639663473</v>
      </c>
      <c r="J87" s="35">
        <f>IF($B87="",'Municípios RJ'!V77,"")</f>
        <v>0.49768649846086849</v>
      </c>
      <c r="K87" s="35">
        <f>IF($C87="não",'Municípios RJ'!V77,"")</f>
        <v>0.49768649846086849</v>
      </c>
      <c r="L87" s="35">
        <f>IF(AND($B87="",$C87="não"),'Municípios RJ'!V77,"")</f>
        <v>0.49768649846086849</v>
      </c>
      <c r="M87" s="35">
        <f>IF($B87="",'Municípios RJ'!S77,"")</f>
        <v>1.0443921552799997</v>
      </c>
      <c r="N87" s="35">
        <f>IF($C87="não",'Municípios RJ'!S77,"")</f>
        <v>1.0443921552799997</v>
      </c>
      <c r="O87" s="35">
        <f>IF(AND($B87="",$C87="não"),'Municípios RJ'!S77,"")</f>
        <v>1.0443921552799997</v>
      </c>
    </row>
    <row r="88" spans="1:15" x14ac:dyDescent="0.25">
      <c r="A88" s="33" t="str">
        <f>'Municípios RJ'!A78</f>
        <v>São Francisco de Itabapoana</v>
      </c>
      <c r="B88" s="33" t="str">
        <f>'Municípios RJ'!O78&amp;""</f>
        <v/>
      </c>
      <c r="C88" s="33" t="str">
        <f>'Municípios RJ'!N78</f>
        <v>não</v>
      </c>
      <c r="D88" s="34">
        <f>IF($B88="",'Municípios RJ'!P78,"")</f>
        <v>1155.3100443337273</v>
      </c>
      <c r="E88" s="34">
        <f>IF($C88="não",'Municípios RJ'!P78,"")</f>
        <v>1155.3100443337273</v>
      </c>
      <c r="F88" s="34">
        <f>IF(AND($B88="",$C88="não"),'Municípios RJ'!P78,"")</f>
        <v>1155.3100443337273</v>
      </c>
      <c r="G88" s="35">
        <f>IF($B88="",'Municípios RJ'!Q78,"")</f>
        <v>0.18256367257078585</v>
      </c>
      <c r="H88" s="35">
        <f>IF($C88="não",'Municípios RJ'!Q78,"")</f>
        <v>0.18256367257078585</v>
      </c>
      <c r="I88" s="35">
        <f>IF(AND($B88="",$C88="não"),'Municípios RJ'!Q78,"")</f>
        <v>0.18256367257078585</v>
      </c>
      <c r="J88" s="35">
        <f>IF($B88="",'Municípios RJ'!V78,"")</f>
        <v>0.54982907837194028</v>
      </c>
      <c r="K88" s="35">
        <f>IF($C88="não",'Municípios RJ'!V78,"")</f>
        <v>0.54982907837194028</v>
      </c>
      <c r="L88" s="35">
        <f>IF(AND($B88="",$C88="não"),'Municípios RJ'!V78,"")</f>
        <v>0.54982907837194028</v>
      </c>
      <c r="M88" s="35">
        <f>IF($B88="",'Municípios RJ'!S78,"")</f>
        <v>0.9749269712698736</v>
      </c>
      <c r="N88" s="35">
        <f>IF($C88="não",'Municípios RJ'!S78,"")</f>
        <v>0.9749269712698736</v>
      </c>
      <c r="O88" s="35">
        <f>IF(AND($B88="",$C88="não"),'Municípios RJ'!S78,"")</f>
        <v>0.9749269712698736</v>
      </c>
    </row>
    <row r="89" spans="1:15" x14ac:dyDescent="0.25">
      <c r="A89" s="33" t="str">
        <f>'Municípios RJ'!A79</f>
        <v>São Gonçalo</v>
      </c>
      <c r="B89" s="33" t="str">
        <f>'Municípios RJ'!O79&amp;""</f>
        <v/>
      </c>
      <c r="C89" s="33" t="str">
        <f>'Municípios RJ'!N79</f>
        <v>não</v>
      </c>
      <c r="D89" s="34">
        <f>IF($B89="",'Municípios RJ'!P79,"")</f>
        <v>1064.6357485749261</v>
      </c>
      <c r="E89" s="34">
        <f>IF($C89="não",'Municípios RJ'!P79,"")</f>
        <v>1064.6357485749261</v>
      </c>
      <c r="F89" s="34">
        <f>IF(AND($B89="",$C89="não"),'Municípios RJ'!P79,"")</f>
        <v>1064.6357485749261</v>
      </c>
      <c r="G89" s="35">
        <f>IF($B89="",'Municípios RJ'!Q79,"")</f>
        <v>0.38100086695307406</v>
      </c>
      <c r="H89" s="35">
        <f>IF($C89="não",'Municípios RJ'!Q79,"")</f>
        <v>0.38100086695307406</v>
      </c>
      <c r="I89" s="35">
        <f>IF(AND($B89="",$C89="não"),'Municípios RJ'!Q79,"")</f>
        <v>0.38100086695307406</v>
      </c>
      <c r="J89" s="35">
        <f>IF($B89="",'Municípios RJ'!V79,"")</f>
        <v>0.4116614626869749</v>
      </c>
      <c r="K89" s="35">
        <f>IF($C89="não",'Municípios RJ'!V79,"")</f>
        <v>0.4116614626869749</v>
      </c>
      <c r="L89" s="35">
        <f>IF(AND($B89="",$C89="não"),'Municípios RJ'!V79,"")</f>
        <v>0.4116614626869749</v>
      </c>
      <c r="M89" s="35">
        <f>IF($B89="",'Municípios RJ'!S79,"")</f>
        <v>1.0510345706759536</v>
      </c>
      <c r="N89" s="35">
        <f>IF($C89="não",'Municípios RJ'!S79,"")</f>
        <v>1.0510345706759536</v>
      </c>
      <c r="O89" s="35">
        <f>IF(AND($B89="",$C89="não"),'Municípios RJ'!S79,"")</f>
        <v>1.0510345706759536</v>
      </c>
    </row>
    <row r="90" spans="1:15" x14ac:dyDescent="0.25">
      <c r="A90" s="33" t="str">
        <f>'Municípios RJ'!A80</f>
        <v>São José de Ubá</v>
      </c>
      <c r="B90" s="33" t="str">
        <f>'Municípios RJ'!O80&amp;""</f>
        <v/>
      </c>
      <c r="C90" s="33" t="str">
        <f>'Municípios RJ'!N80</f>
        <v>não</v>
      </c>
      <c r="D90" s="34">
        <f>IF($B90="",'Municípios RJ'!P80,"")</f>
        <v>3564.9803786739576</v>
      </c>
      <c r="E90" s="34">
        <f>IF($C90="não",'Municípios RJ'!P80,"")</f>
        <v>3564.9803786739576</v>
      </c>
      <c r="F90" s="34">
        <f>IF(AND($B90="",$C90="não"),'Municípios RJ'!P80,"")</f>
        <v>3564.9803786739576</v>
      </c>
      <c r="G90" s="35">
        <f>IF($B90="",'Municípios RJ'!Q80,"")</f>
        <v>0.31551733330632431</v>
      </c>
      <c r="H90" s="35">
        <f>IF($C90="não",'Municípios RJ'!Q80,"")</f>
        <v>0.31551733330632431</v>
      </c>
      <c r="I90" s="35">
        <f>IF(AND($B90="",$C90="não"),'Municípios RJ'!Q80,"")</f>
        <v>0.31551733330632431</v>
      </c>
      <c r="J90" s="35">
        <f>IF($B90="",'Municípios RJ'!V80,"")</f>
        <v>0.52688991228443105</v>
      </c>
      <c r="K90" s="35">
        <f>IF($C90="não",'Municípios RJ'!V80,"")</f>
        <v>0.52688991228443105</v>
      </c>
      <c r="L90" s="35">
        <f>IF(AND($B90="",$C90="não"),'Municípios RJ'!V80,"")</f>
        <v>0.52688991228443105</v>
      </c>
      <c r="M90" s="35">
        <f>IF($B90="",'Municípios RJ'!S80,"")</f>
        <v>0.92551552280098159</v>
      </c>
      <c r="N90" s="35">
        <f>IF($C90="não",'Municípios RJ'!S80,"")</f>
        <v>0.92551552280098159</v>
      </c>
      <c r="O90" s="35">
        <f>IF(AND($B90="",$C90="não"),'Municípios RJ'!S80,"")</f>
        <v>0.92551552280098159</v>
      </c>
    </row>
    <row r="91" spans="1:15" x14ac:dyDescent="0.25">
      <c r="A91" s="33" t="str">
        <f>'Municípios RJ'!A81</f>
        <v>São José do Vale do Rio Preto</v>
      </c>
      <c r="B91" s="33" t="str">
        <f>'Municípios RJ'!O81&amp;""</f>
        <v/>
      </c>
      <c r="C91" s="33" t="str">
        <f>'Municípios RJ'!N81</f>
        <v>não</v>
      </c>
      <c r="D91" s="34">
        <f>IF($B91="",'Municípios RJ'!P81,"")</f>
        <v>2048.3166533619897</v>
      </c>
      <c r="E91" s="34">
        <f>IF($C91="não",'Municípios RJ'!P81,"")</f>
        <v>2048.3166533619897</v>
      </c>
      <c r="F91" s="34">
        <f>IF(AND($B91="",$C91="não"),'Municípios RJ'!P81,"")</f>
        <v>2048.3166533619897</v>
      </c>
      <c r="G91" s="35">
        <f>IF($B91="",'Municípios RJ'!Q81,"")</f>
        <v>0.33792982375315234</v>
      </c>
      <c r="H91" s="35">
        <f>IF($C91="não",'Municípios RJ'!Q81,"")</f>
        <v>0.33792982375315234</v>
      </c>
      <c r="I91" s="35">
        <f>IF(AND($B91="",$C91="não"),'Municípios RJ'!Q81,"")</f>
        <v>0.33792982375315234</v>
      </c>
      <c r="J91" s="35">
        <f>IF($B91="",'Municípios RJ'!V81,"")</f>
        <v>0.4896482972519402</v>
      </c>
      <c r="K91" s="35">
        <f>IF($C91="não",'Municípios RJ'!V81,"")</f>
        <v>0.4896482972519402</v>
      </c>
      <c r="L91" s="35">
        <f>IF(AND($B91="",$C91="não"),'Municípios RJ'!V81,"")</f>
        <v>0.4896482972519402</v>
      </c>
      <c r="M91" s="35">
        <f>IF($B91="",'Municípios RJ'!S81,"")</f>
        <v>0.98082200249139329</v>
      </c>
      <c r="N91" s="35">
        <f>IF($C91="não",'Municípios RJ'!S81,"")</f>
        <v>0.98082200249139329</v>
      </c>
      <c r="O91" s="35">
        <f>IF(AND($B91="",$C91="não"),'Municípios RJ'!S81,"")</f>
        <v>0.98082200249139329</v>
      </c>
    </row>
    <row r="92" spans="1:15" x14ac:dyDescent="0.25">
      <c r="A92" s="33" t="str">
        <f>'Municípios RJ'!A82</f>
        <v>São João da Barra</v>
      </c>
      <c r="B92" s="33" t="str">
        <f>'Municípios RJ'!O82&amp;""</f>
        <v/>
      </c>
      <c r="C92" s="33" t="str">
        <f>'Municípios RJ'!N82</f>
        <v>não</v>
      </c>
      <c r="D92" s="34">
        <f>IF($B92="",'Municípios RJ'!P82,"")</f>
        <v>6464.7968381213186</v>
      </c>
      <c r="E92" s="34">
        <f>IF($C92="não",'Municípios RJ'!P82,"")</f>
        <v>6464.7968381213186</v>
      </c>
      <c r="F92" s="34">
        <f>IF(AND($B92="",$C92="não"),'Municípios RJ'!P82,"")</f>
        <v>6464.7968381213186</v>
      </c>
      <c r="G92" s="35">
        <f>IF($B92="",'Municípios RJ'!Q82,"")</f>
        <v>0.2527528291922666</v>
      </c>
      <c r="H92" s="35">
        <f>IF($C92="não",'Municípios RJ'!Q82,"")</f>
        <v>0.2527528291922666</v>
      </c>
      <c r="I92" s="35">
        <f>IF(AND($B92="",$C92="não"),'Municípios RJ'!Q82,"")</f>
        <v>0.2527528291922666</v>
      </c>
      <c r="J92" s="35">
        <f>IF($B92="",'Municípios RJ'!V82,"")</f>
        <v>0.44752342023002406</v>
      </c>
      <c r="K92" s="35">
        <f>IF($C92="não",'Municípios RJ'!V82,"")</f>
        <v>0.44752342023002406</v>
      </c>
      <c r="L92" s="35">
        <f>IF(AND($B92="",$C92="não"),'Municípios RJ'!V82,"")</f>
        <v>0.44752342023002406</v>
      </c>
      <c r="M92" s="35">
        <f>IF($B92="",'Municípios RJ'!S82,"")</f>
        <v>1.074233958338539</v>
      </c>
      <c r="N92" s="35">
        <f>IF($C92="não",'Municípios RJ'!S82,"")</f>
        <v>1.074233958338539</v>
      </c>
      <c r="O92" s="35">
        <f>IF(AND($B92="",$C92="não"),'Municípios RJ'!S82,"")</f>
        <v>1.074233958338539</v>
      </c>
    </row>
    <row r="93" spans="1:15" x14ac:dyDescent="0.25">
      <c r="A93" s="33" t="str">
        <f>'Municípios RJ'!A83</f>
        <v>São João de Meriti</v>
      </c>
      <c r="B93" s="33" t="str">
        <f>'Municípios RJ'!O83&amp;""</f>
        <v/>
      </c>
      <c r="C93" s="33" t="str">
        <f>'Municípios RJ'!N83</f>
        <v>não</v>
      </c>
      <c r="D93" s="34">
        <f>IF($B93="",'Municípios RJ'!P83,"")</f>
        <v>899.88858212442346</v>
      </c>
      <c r="E93" s="34">
        <f>IF($C93="não",'Municípios RJ'!P83,"")</f>
        <v>899.88858212442346</v>
      </c>
      <c r="F93" s="34">
        <f>IF(AND($B93="",$C93="não"),'Municípios RJ'!P83,"")</f>
        <v>899.88858212442346</v>
      </c>
      <c r="G93" s="35">
        <f>IF($B93="",'Municípios RJ'!Q83,"")</f>
        <v>0.34143682090520333</v>
      </c>
      <c r="H93" s="35">
        <f>IF($C93="não",'Municípios RJ'!Q83,"")</f>
        <v>0.34143682090520333</v>
      </c>
      <c r="I93" s="35">
        <f>IF(AND($B93="",$C93="não"),'Municípios RJ'!Q83,"")</f>
        <v>0.34143682090520333</v>
      </c>
      <c r="J93" s="35">
        <f>IF($B93="",'Municípios RJ'!V83,"")</f>
        <v>0.55857250745276776</v>
      </c>
      <c r="K93" s="35">
        <f>IF($C93="não",'Municípios RJ'!V83,"")</f>
        <v>0.55857250745276776</v>
      </c>
      <c r="L93" s="35">
        <f>IF(AND($B93="",$C93="não"),'Municípios RJ'!V83,"")</f>
        <v>0.55857250745276776</v>
      </c>
      <c r="M93" s="35">
        <f>IF($B93="",'Municípios RJ'!S83,"")</f>
        <v>0.99236896279092246</v>
      </c>
      <c r="N93" s="35">
        <f>IF($C93="não",'Municípios RJ'!S83,"")</f>
        <v>0.99236896279092246</v>
      </c>
      <c r="O93" s="35">
        <f>IF(AND($B93="",$C93="não"),'Municípios RJ'!S83,"")</f>
        <v>0.99236896279092246</v>
      </c>
    </row>
    <row r="94" spans="1:15" x14ac:dyDescent="0.25">
      <c r="A94" s="33" t="str">
        <f>'Municípios RJ'!A84</f>
        <v>São Pedro da Aldeia</v>
      </c>
      <c r="B94" s="33" t="str">
        <f>'Municípios RJ'!O84&amp;""</f>
        <v/>
      </c>
      <c r="C94" s="33" t="str">
        <f>'Municípios RJ'!N84</f>
        <v>não</v>
      </c>
      <c r="D94" s="34">
        <f>IF($B94="",'Municípios RJ'!P84,"")</f>
        <v>949.21184630413541</v>
      </c>
      <c r="E94" s="34">
        <f>IF($C94="não",'Municípios RJ'!P84,"")</f>
        <v>949.21184630413541</v>
      </c>
      <c r="F94" s="34">
        <f>IF(AND($B94="",$C94="não"),'Municípios RJ'!P84,"")</f>
        <v>949.21184630413541</v>
      </c>
      <c r="G94" s="35">
        <f>IF($B94="",'Municípios RJ'!Q84,"")</f>
        <v>0.22547906007942828</v>
      </c>
      <c r="H94" s="35">
        <f>IF($C94="não",'Municípios RJ'!Q84,"")</f>
        <v>0.22547906007942828</v>
      </c>
      <c r="I94" s="35">
        <f>IF(AND($B94="",$C94="não"),'Municípios RJ'!Q84,"")</f>
        <v>0.22547906007942828</v>
      </c>
      <c r="J94" s="35">
        <f>IF($B94="",'Municípios RJ'!V84,"")</f>
        <v>0.49779089526788045</v>
      </c>
      <c r="K94" s="35">
        <f>IF($C94="não",'Municípios RJ'!V84,"")</f>
        <v>0.49779089526788045</v>
      </c>
      <c r="L94" s="35">
        <f>IF(AND($B94="",$C94="não"),'Municípios RJ'!V84,"")</f>
        <v>0.49779089526788045</v>
      </c>
      <c r="M94" s="35">
        <f>IF($B94="",'Municípios RJ'!S84,"")</f>
        <v>0.95852544392700867</v>
      </c>
      <c r="N94" s="35">
        <f>IF($C94="não",'Municípios RJ'!S84,"")</f>
        <v>0.95852544392700867</v>
      </c>
      <c r="O94" s="35">
        <f>IF(AND($B94="",$C94="não"),'Municípios RJ'!S84,"")</f>
        <v>0.95852544392700867</v>
      </c>
    </row>
    <row r="95" spans="1:15" x14ac:dyDescent="0.25">
      <c r="A95" s="33" t="str">
        <f>'Municípios RJ'!A85</f>
        <v>São Sebastião do Alto</v>
      </c>
      <c r="B95" s="33" t="str">
        <f>'Municípios RJ'!O85&amp;""</f>
        <v/>
      </c>
      <c r="C95" s="33" t="str">
        <f>'Municípios RJ'!N85</f>
        <v>não</v>
      </c>
      <c r="D95" s="34">
        <f>IF($B95="",'Municípios RJ'!P85,"")</f>
        <v>3051.8957557194649</v>
      </c>
      <c r="E95" s="34">
        <f>IF($C95="não",'Municípios RJ'!P85,"")</f>
        <v>3051.8957557194649</v>
      </c>
      <c r="F95" s="34">
        <f>IF(AND($B95="",$C95="não"),'Municípios RJ'!P85,"")</f>
        <v>3051.8957557194649</v>
      </c>
      <c r="G95" s="35">
        <f>IF($B95="",'Municípios RJ'!Q85,"")</f>
        <v>0.25126210011084615</v>
      </c>
      <c r="H95" s="35">
        <f>IF($C95="não",'Municípios RJ'!Q85,"")</f>
        <v>0.25126210011084615</v>
      </c>
      <c r="I95" s="35">
        <f>IF(AND($B95="",$C95="não"),'Municípios RJ'!Q85,"")</f>
        <v>0.25126210011084615</v>
      </c>
      <c r="J95" s="35">
        <f>IF($B95="",'Municípios RJ'!V85,"")</f>
        <v>0.63837438716522421</v>
      </c>
      <c r="K95" s="35">
        <f>IF($C95="não",'Municípios RJ'!V85,"")</f>
        <v>0.63837438716522421</v>
      </c>
      <c r="L95" s="35">
        <f>IF(AND($B95="",$C95="não"),'Municípios RJ'!V85,"")</f>
        <v>0.63837438716522421</v>
      </c>
      <c r="M95" s="35">
        <f>IF($B95="",'Municípios RJ'!S85,"")</f>
        <v>1.0386808266480922</v>
      </c>
      <c r="N95" s="35">
        <f>IF($C95="não",'Municípios RJ'!S85,"")</f>
        <v>1.0386808266480922</v>
      </c>
      <c r="O95" s="35">
        <f>IF(AND($B95="",$C95="não"),'Municípios RJ'!S85,"")</f>
        <v>1.0386808266480922</v>
      </c>
    </row>
    <row r="96" spans="1:15" x14ac:dyDescent="0.25">
      <c r="A96" s="33" t="str">
        <f>'Municípios RJ'!A86</f>
        <v>Tanguá</v>
      </c>
      <c r="B96" s="33" t="str">
        <f>'Municípios RJ'!O86&amp;""</f>
        <v/>
      </c>
      <c r="C96" s="33" t="str">
        <f>'Municípios RJ'!N86</f>
        <v>sim</v>
      </c>
      <c r="D96" s="34">
        <f>IF($B96="",'Municípios RJ'!P86,"")</f>
        <v>2106.7130430945281</v>
      </c>
      <c r="E96" s="34" t="str">
        <f>IF($C96="não",'Municípios RJ'!P86,"")</f>
        <v/>
      </c>
      <c r="F96" s="34" t="str">
        <f>IF(AND($B96="",$C96="não"),'Municípios RJ'!P86,"")</f>
        <v/>
      </c>
      <c r="G96" s="35">
        <f>IF($B96="",'Municípios RJ'!Q86,"")</f>
        <v>0.3344028720149585</v>
      </c>
      <c r="H96" s="35" t="str">
        <f>IF($C96="não",'Municípios RJ'!Q86,"")</f>
        <v/>
      </c>
      <c r="I96" s="35" t="str">
        <f>IF(AND($B96="",$C96="não"),'Municípios RJ'!Q86,"")</f>
        <v/>
      </c>
      <c r="J96" s="35">
        <f>IF($B96="",'Municípios RJ'!V86,"")</f>
        <v>0.44488768228262848</v>
      </c>
      <c r="K96" s="35" t="str">
        <f>IF($C96="não",'Municípios RJ'!V86,"")</f>
        <v/>
      </c>
      <c r="L96" s="35" t="str">
        <f>IF(AND($B96="",$C96="não"),'Municípios RJ'!V86,"")</f>
        <v/>
      </c>
      <c r="M96" s="35">
        <f>IF($B96="",'Municípios RJ'!S86,"")</f>
        <v>1.0042774455875085</v>
      </c>
      <c r="N96" s="35" t="str">
        <f>IF($C96="não",'Municípios RJ'!S86,"")</f>
        <v/>
      </c>
      <c r="O96" s="35" t="str">
        <f>IF(AND($B96="",$C96="não"),'Municípios RJ'!S86,"")</f>
        <v/>
      </c>
    </row>
    <row r="97" spans="1:15" x14ac:dyDescent="0.25">
      <c r="A97" s="33" t="str">
        <f>'Municípios RJ'!A87</f>
        <v>Teresópolis</v>
      </c>
      <c r="B97" s="33" t="str">
        <f>'Municípios RJ'!O87&amp;""</f>
        <v/>
      </c>
      <c r="C97" s="33" t="str">
        <f>'Municípios RJ'!N87</f>
        <v>não</v>
      </c>
      <c r="D97" s="34">
        <f>IF($B97="",'Municípios RJ'!P87,"")</f>
        <v>1216.5271423720371</v>
      </c>
      <c r="E97" s="34">
        <f>IF($C97="não",'Municípios RJ'!P87,"")</f>
        <v>1216.5271423720371</v>
      </c>
      <c r="F97" s="34">
        <f>IF(AND($B97="",$C97="não"),'Municípios RJ'!P87,"")</f>
        <v>1216.5271423720371</v>
      </c>
      <c r="G97" s="35">
        <f>IF($B97="",'Municípios RJ'!Q87,"")</f>
        <v>0.24521751921389667</v>
      </c>
      <c r="H97" s="35">
        <f>IF($C97="não",'Municípios RJ'!Q87,"")</f>
        <v>0.24521751921389667</v>
      </c>
      <c r="I97" s="35">
        <f>IF(AND($B97="",$C97="não"),'Municípios RJ'!Q87,"")</f>
        <v>0.24521751921389667</v>
      </c>
      <c r="J97" s="35">
        <f>IF($B97="",'Municípios RJ'!V87,"")</f>
        <v>0.52484365710109637</v>
      </c>
      <c r="K97" s="35">
        <f>IF($C97="não",'Municípios RJ'!V87,"")</f>
        <v>0.52484365710109637</v>
      </c>
      <c r="L97" s="35">
        <f>IF(AND($B97="",$C97="não"),'Municípios RJ'!V87,"")</f>
        <v>0.52484365710109637</v>
      </c>
      <c r="M97" s="35">
        <f>IF($B97="",'Municípios RJ'!S87,"")</f>
        <v>1.0076582436773553</v>
      </c>
      <c r="N97" s="35">
        <f>IF($C97="não",'Municípios RJ'!S87,"")</f>
        <v>1.0076582436773553</v>
      </c>
      <c r="O97" s="35">
        <f>IF(AND($B97="",$C97="não"),'Municípios RJ'!S87,"")</f>
        <v>1.0076582436773553</v>
      </c>
    </row>
    <row r="98" spans="1:15" x14ac:dyDescent="0.25">
      <c r="A98" s="33" t="str">
        <f>'Municípios RJ'!A88</f>
        <v>Trajano de Moraes</v>
      </c>
      <c r="B98" s="33" t="str">
        <f>'Municípios RJ'!O88&amp;""</f>
        <v/>
      </c>
      <c r="C98" s="33" t="str">
        <f>'Municípios RJ'!N88</f>
        <v>não</v>
      </c>
      <c r="D98" s="34">
        <f>IF($B98="",'Municípios RJ'!P88,"")</f>
        <v>2091.2985176492675</v>
      </c>
      <c r="E98" s="34">
        <f>IF($C98="não",'Municípios RJ'!P88,"")</f>
        <v>2091.2985176492675</v>
      </c>
      <c r="F98" s="34">
        <f>IF(AND($B98="",$C98="não"),'Municípios RJ'!P88,"")</f>
        <v>2091.2985176492675</v>
      </c>
      <c r="G98" s="35">
        <f>IF($B98="",'Municípios RJ'!Q88,"")</f>
        <v>0.20058349055911512</v>
      </c>
      <c r="H98" s="35">
        <f>IF($C98="não",'Municípios RJ'!Q88,"")</f>
        <v>0.20058349055911512</v>
      </c>
      <c r="I98" s="35">
        <f>IF(AND($B98="",$C98="não"),'Municípios RJ'!Q88,"")</f>
        <v>0.20058349055911512</v>
      </c>
      <c r="J98" s="35">
        <f>IF($B98="",'Municípios RJ'!V88,"")</f>
        <v>0.55775016577863867</v>
      </c>
      <c r="K98" s="35">
        <f>IF($C98="não",'Municípios RJ'!V88,"")</f>
        <v>0.55775016577863867</v>
      </c>
      <c r="L98" s="35">
        <f>IF(AND($B98="",$C98="não"),'Municípios RJ'!V88,"")</f>
        <v>0.55775016577863867</v>
      </c>
      <c r="M98" s="35">
        <f>IF($B98="",'Municípios RJ'!S88,"")</f>
        <v>1.0031974491400872</v>
      </c>
      <c r="N98" s="35">
        <f>IF($C98="não",'Municípios RJ'!S88,"")</f>
        <v>1.0031974491400872</v>
      </c>
      <c r="O98" s="35">
        <f>IF(AND($B98="",$C98="não"),'Municípios RJ'!S88,"")</f>
        <v>1.0031974491400872</v>
      </c>
    </row>
    <row r="99" spans="1:15" x14ac:dyDescent="0.25">
      <c r="A99" s="33" t="str">
        <f>'Municípios RJ'!A89</f>
        <v>Três Rios</v>
      </c>
      <c r="B99" s="33" t="str">
        <f>'Municípios RJ'!O89&amp;""</f>
        <v/>
      </c>
      <c r="C99" s="33" t="str">
        <f>'Municípios RJ'!N89</f>
        <v>não</v>
      </c>
      <c r="D99" s="34">
        <f>IF($B99="",'Municípios RJ'!P89,"")</f>
        <v>1992.6692003645201</v>
      </c>
      <c r="E99" s="34">
        <f>IF($C99="não",'Municípios RJ'!P89,"")</f>
        <v>1992.6692003645201</v>
      </c>
      <c r="F99" s="34">
        <f>IF(AND($B99="",$C99="não"),'Municípios RJ'!P89,"")</f>
        <v>1992.6692003645201</v>
      </c>
      <c r="G99" s="35">
        <f>IF($B99="",'Municípios RJ'!Q89,"")</f>
        <v>0.2912674506880345</v>
      </c>
      <c r="H99" s="35">
        <f>IF($C99="não",'Municípios RJ'!Q89,"")</f>
        <v>0.2912674506880345</v>
      </c>
      <c r="I99" s="35">
        <f>IF(AND($B99="",$C99="não"),'Municípios RJ'!Q89,"")</f>
        <v>0.2912674506880345</v>
      </c>
      <c r="J99" s="35">
        <f>IF($B99="",'Municípios RJ'!V89,"")</f>
        <v>0.51327097264858124</v>
      </c>
      <c r="K99" s="35">
        <f>IF($C99="não",'Municípios RJ'!V89,"")</f>
        <v>0.51327097264858124</v>
      </c>
      <c r="L99" s="35">
        <f>IF(AND($B99="",$C99="não"),'Municípios RJ'!V89,"")</f>
        <v>0.51327097264858124</v>
      </c>
      <c r="M99" s="35">
        <f>IF($B99="",'Municípios RJ'!S89,"")</f>
        <v>1.0008075043788669</v>
      </c>
      <c r="N99" s="35">
        <f>IF($C99="não",'Municípios RJ'!S89,"")</f>
        <v>1.0008075043788669</v>
      </c>
      <c r="O99" s="35">
        <f>IF(AND($B99="",$C99="não"),'Municípios RJ'!S89,"")</f>
        <v>1.0008075043788669</v>
      </c>
    </row>
    <row r="100" spans="1:15" x14ac:dyDescent="0.25">
      <c r="A100" s="33" t="str">
        <f>'Municípios RJ'!A90</f>
        <v>Valença</v>
      </c>
      <c r="B100" s="33" t="str">
        <f>'Municípios RJ'!O90&amp;""</f>
        <v/>
      </c>
      <c r="C100" s="33" t="str">
        <f>'Municípios RJ'!N90</f>
        <v>não</v>
      </c>
      <c r="D100" s="34">
        <f>IF($B100="",'Municípios RJ'!P90,"")</f>
        <v>1663.3329491198119</v>
      </c>
      <c r="E100" s="34">
        <f>IF($C100="não",'Municípios RJ'!P90,"")</f>
        <v>1663.3329491198119</v>
      </c>
      <c r="F100" s="34">
        <f>IF(AND($B100="",$C100="não"),'Municípios RJ'!P90,"")</f>
        <v>1663.3329491198119</v>
      </c>
      <c r="G100" s="35">
        <f>IF($B100="",'Municípios RJ'!Q90,"")</f>
        <v>0.29961949615829603</v>
      </c>
      <c r="H100" s="35">
        <f>IF($C100="não",'Municípios RJ'!Q90,"")</f>
        <v>0.29961949615829603</v>
      </c>
      <c r="I100" s="35">
        <f>IF(AND($B100="",$C100="não"),'Municípios RJ'!Q90,"")</f>
        <v>0.29961949615829603</v>
      </c>
      <c r="J100" s="35">
        <f>IF($B100="",'Municípios RJ'!V90,"")</f>
        <v>0.53325976706147804</v>
      </c>
      <c r="K100" s="35">
        <f>IF($C100="não",'Municípios RJ'!V90,"")</f>
        <v>0.53325976706147804</v>
      </c>
      <c r="L100" s="35">
        <f>IF(AND($B100="",$C100="não"),'Municípios RJ'!V90,"")</f>
        <v>0.53325976706147804</v>
      </c>
      <c r="M100" s="35">
        <f>IF($B100="",'Municípios RJ'!S90,"")</f>
        <v>1.0130078987153879</v>
      </c>
      <c r="N100" s="35">
        <f>IF($C100="não",'Municípios RJ'!S90,"")</f>
        <v>1.0130078987153879</v>
      </c>
      <c r="O100" s="35">
        <f>IF(AND($B100="",$C100="não"),'Municípios RJ'!S90,"")</f>
        <v>1.0130078987153879</v>
      </c>
    </row>
    <row r="101" spans="1:15" x14ac:dyDescent="0.25">
      <c r="A101" s="33" t="str">
        <f>'Municípios RJ'!A91</f>
        <v>Varre-Sai</v>
      </c>
      <c r="B101" s="33" t="str">
        <f>'Municípios RJ'!O91&amp;""</f>
        <v/>
      </c>
      <c r="C101" s="33" t="str">
        <f>'Municípios RJ'!N91</f>
        <v>não</v>
      </c>
      <c r="D101" s="34">
        <f>IF($B101="",'Municípios RJ'!P91,"")</f>
        <v>2395.4954683208634</v>
      </c>
      <c r="E101" s="34">
        <f>IF($C101="não",'Municípios RJ'!P91,"")</f>
        <v>2395.4954683208634</v>
      </c>
      <c r="F101" s="34">
        <f>IF(AND($B101="",$C101="não"),'Municípios RJ'!P91,"")</f>
        <v>2395.4954683208634</v>
      </c>
      <c r="G101" s="35">
        <f>IF($B101="",'Municípios RJ'!Q91,"")</f>
        <v>0.26245106872202534</v>
      </c>
      <c r="H101" s="35">
        <f>IF($C101="não",'Municípios RJ'!Q91,"")</f>
        <v>0.26245106872202534</v>
      </c>
      <c r="I101" s="35">
        <f>IF(AND($B101="",$C101="não"),'Municípios RJ'!Q91,"")</f>
        <v>0.26245106872202534</v>
      </c>
      <c r="J101" s="35">
        <f>IF($B101="",'Municípios RJ'!V91,"")</f>
        <v>0.5116938533617702</v>
      </c>
      <c r="K101" s="35">
        <f>IF($C101="não",'Municípios RJ'!V91,"")</f>
        <v>0.5116938533617702</v>
      </c>
      <c r="L101" s="35">
        <f>IF(AND($B101="",$C101="não"),'Municípios RJ'!V91,"")</f>
        <v>0.5116938533617702</v>
      </c>
      <c r="M101" s="35">
        <f>IF($B101="",'Municípios RJ'!S91,"")</f>
        <v>0.95871681892581029</v>
      </c>
      <c r="N101" s="35">
        <f>IF($C101="não",'Municípios RJ'!S91,"")</f>
        <v>0.95871681892581029</v>
      </c>
      <c r="O101" s="35">
        <f>IF(AND($B101="",$C101="não"),'Municípios RJ'!S91,"")</f>
        <v>0.95871681892581029</v>
      </c>
    </row>
    <row r="102" spans="1:15" x14ac:dyDescent="0.25">
      <c r="A102" s="33" t="str">
        <f>'Municípios RJ'!A92</f>
        <v>Vassouras</v>
      </c>
      <c r="B102" s="33" t="str">
        <f>'Municípios RJ'!O92&amp;""</f>
        <v/>
      </c>
      <c r="C102" s="33" t="str">
        <f>'Municípios RJ'!N92</f>
        <v>sim</v>
      </c>
      <c r="D102" s="34">
        <f>IF($B102="",'Municípios RJ'!P92,"")</f>
        <v>3860.9133826314619</v>
      </c>
      <c r="E102" s="34" t="str">
        <f>IF($C102="não",'Municípios RJ'!P92,"")</f>
        <v/>
      </c>
      <c r="F102" s="34" t="str">
        <f>IF(AND($B102="",$C102="não"),'Municípios RJ'!P92,"")</f>
        <v/>
      </c>
      <c r="G102" s="35">
        <f>IF($B102="",'Municípios RJ'!Q92,"")</f>
        <v>0.44667478173676128</v>
      </c>
      <c r="H102" s="35" t="str">
        <f>IF($C102="não",'Municípios RJ'!Q92,"")</f>
        <v/>
      </c>
      <c r="I102" s="35" t="str">
        <f>IF(AND($B102="",$C102="não"),'Municípios RJ'!Q92,"")</f>
        <v/>
      </c>
      <c r="J102" s="35">
        <f>IF($B102="",'Municípios RJ'!V92,"")</f>
        <v>0.51152266427022897</v>
      </c>
      <c r="K102" s="35" t="str">
        <f>IF($C102="não",'Municípios RJ'!V92,"")</f>
        <v/>
      </c>
      <c r="L102" s="35" t="str">
        <f>IF(AND($B102="",$C102="não"),'Municípios RJ'!V92,"")</f>
        <v/>
      </c>
      <c r="M102" s="35">
        <f>IF($B102="",'Municípios RJ'!S92,"")</f>
        <v>1.0391330906481746</v>
      </c>
      <c r="N102" s="35" t="str">
        <f>IF($C102="não",'Municípios RJ'!S92,"")</f>
        <v/>
      </c>
      <c r="O102" s="35" t="str">
        <f>IF(AND($B102="",$C102="não"),'Municípios RJ'!S92,"")</f>
        <v/>
      </c>
    </row>
    <row r="103" spans="1:15" x14ac:dyDescent="0.25">
      <c r="A103" s="33" t="str">
        <f>'Municípios RJ'!A93</f>
        <v>Volta Redonda</v>
      </c>
      <c r="B103" s="33" t="str">
        <f>'Municípios RJ'!O93&amp;""</f>
        <v/>
      </c>
      <c r="C103" s="33" t="str">
        <f>'Municípios RJ'!N93</f>
        <v>não</v>
      </c>
      <c r="D103" s="34">
        <f>IF($B103="",'Municípios RJ'!P93,"")</f>
        <v>1947.0627359609571</v>
      </c>
      <c r="E103" s="34">
        <f>IF($C103="não",'Municípios RJ'!P93,"")</f>
        <v>1947.0627359609571</v>
      </c>
      <c r="F103" s="34">
        <f>IF(AND($B103="",$C103="não"),'Municípios RJ'!P93,"")</f>
        <v>1947.0627359609571</v>
      </c>
      <c r="G103" s="35">
        <f>IF($B103="",'Municípios RJ'!Q93,"")</f>
        <v>0.30735756240539108</v>
      </c>
      <c r="H103" s="35">
        <f>IF($C103="não",'Municípios RJ'!Q93,"")</f>
        <v>0.30735756240539108</v>
      </c>
      <c r="I103" s="35">
        <f>IF(AND($B103="",$C103="não"),'Municípios RJ'!Q93,"")</f>
        <v>0.30735756240539108</v>
      </c>
      <c r="J103" s="35">
        <f>IF($B103="",'Municípios RJ'!V93,"")</f>
        <v>0.3356520766500759</v>
      </c>
      <c r="K103" s="35">
        <f>IF($C103="não",'Municípios RJ'!V93,"")</f>
        <v>0.3356520766500759</v>
      </c>
      <c r="L103" s="35">
        <f>IF(AND($B103="",$C103="não"),'Municípios RJ'!V93,"")</f>
        <v>0.3356520766500759</v>
      </c>
      <c r="M103" s="35">
        <f>IF($B103="",'Municípios RJ'!S93,"")</f>
        <v>0.94504082312434845</v>
      </c>
      <c r="N103" s="35">
        <f>IF($C103="não",'Municípios RJ'!S93,"")</f>
        <v>0.94504082312434845</v>
      </c>
      <c r="O103" s="35">
        <f>IF(AND($B103="",$C103="não"),'Municípios RJ'!S93,"")</f>
        <v>0.94504082312434845</v>
      </c>
    </row>
  </sheetData>
  <mergeCells count="1">
    <mergeCell ref="A2:G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30"/>
  <sheetViews>
    <sheetView workbookViewId="0"/>
  </sheetViews>
  <sheetFormatPr defaultRowHeight="14.3" x14ac:dyDescent="0.25"/>
  <cols>
    <col min="1" max="1" width="26" customWidth="1"/>
    <col min="2" max="2" width="16" customWidth="1"/>
    <col min="4" max="4" width="26" customWidth="1"/>
    <col min="5" max="5" width="16" customWidth="1"/>
    <col min="7" max="7" width="26" customWidth="1"/>
    <col min="8" max="8" width="16" customWidth="1"/>
    <col min="10" max="10" width="26" customWidth="1"/>
    <col min="11" max="11" width="16" customWidth="1"/>
  </cols>
  <sheetData>
    <row r="1" spans="1:11" ht="44.05" customHeight="1" x14ac:dyDescent="0.25">
      <c r="A1" s="38" t="s">
        <v>341</v>
      </c>
      <c r="B1" s="39"/>
      <c r="C1" s="39"/>
      <c r="D1" s="39"/>
      <c r="E1" s="39"/>
      <c r="F1" s="39"/>
      <c r="G1" s="39"/>
      <c r="H1" s="39"/>
    </row>
    <row r="3" spans="1:11" ht="47.95" customHeight="1" x14ac:dyDescent="0.25">
      <c r="A3" s="4" t="s">
        <v>342</v>
      </c>
      <c r="B3" s="4" t="s">
        <v>343</v>
      </c>
      <c r="D3" s="4" t="s">
        <v>342</v>
      </c>
      <c r="E3" s="4" t="s">
        <v>344</v>
      </c>
      <c r="G3" s="4" t="s">
        <v>342</v>
      </c>
      <c r="H3" s="4" t="s">
        <v>345</v>
      </c>
      <c r="J3" s="4" t="s">
        <v>342</v>
      </c>
      <c r="K3" s="4" t="s">
        <v>346</v>
      </c>
    </row>
    <row r="4" spans="1:11" x14ac:dyDescent="0.25">
      <c r="A4" s="33" t="s">
        <v>64</v>
      </c>
      <c r="B4" s="34">
        <f>INDEX(Estados!$Q$2:$Q$28,MATCH(A4,Estados!$A$2:$A$28,0))</f>
        <v>2666.3549886589681</v>
      </c>
      <c r="D4" s="33" t="s">
        <v>114</v>
      </c>
      <c r="E4" s="35">
        <f>INDEX(Estados!$R$2:$R$28,MATCH(D4,Estados!$A$2:$A$28,0))</f>
        <v>0.22266025571094986</v>
      </c>
      <c r="G4" s="33" t="s">
        <v>97</v>
      </c>
      <c r="H4" s="35">
        <f>INDEX(Estados!$W$2:$W$28,MATCH(G4,Estados!$A$2:$A$28,0))</f>
        <v>0.66637401916960248</v>
      </c>
      <c r="J4" s="33" t="s">
        <v>101</v>
      </c>
      <c r="K4" s="35">
        <f>INDEX(Estados!$N$2:$N$28,MATCH(J4,Estados!$A$2:$A$28,0))</f>
        <v>2.1132</v>
      </c>
    </row>
    <row r="5" spans="1:11" x14ac:dyDescent="0.25">
      <c r="A5" s="33" t="s">
        <v>60</v>
      </c>
      <c r="B5" s="34">
        <f>INDEX(Estados!$Q$2:$Q$28,MATCH(A5,Estados!$A$2:$A$28,0))</f>
        <v>2366.7282753957106</v>
      </c>
      <c r="D5" s="33" t="s">
        <v>64</v>
      </c>
      <c r="E5" s="35">
        <f>INDEX(Estados!$R$2:$R$28,MATCH(D5,Estados!$A$2:$A$28,0))</f>
        <v>0.21986278175476948</v>
      </c>
      <c r="G5" s="33" t="s">
        <v>85</v>
      </c>
      <c r="H5" s="35">
        <f>INDEX(Estados!$W$2:$W$28,MATCH(G5,Estados!$A$2:$A$28,0))</f>
        <v>0.57329654812921682</v>
      </c>
      <c r="J5" s="33" t="s">
        <v>99</v>
      </c>
      <c r="K5" s="35">
        <f>INDEX(Estados!$N$2:$N$28,MATCH(J5,Estados!$A$2:$A$28,0))</f>
        <v>1.8467</v>
      </c>
    </row>
    <row r="6" spans="1:11" x14ac:dyDescent="0.25">
      <c r="A6" s="33" t="s">
        <v>114</v>
      </c>
      <c r="B6" s="34">
        <f>INDEX(Estados!$Q$2:$Q$28,MATCH(A6,Estados!$A$2:$A$28,0))</f>
        <v>2298.8683243139408</v>
      </c>
      <c r="D6" s="33" t="s">
        <v>93</v>
      </c>
      <c r="E6" s="35">
        <f>INDEX(Estados!$R$2:$R$28,MATCH(D6,Estados!$A$2:$A$28,0))</f>
        <v>0.20826083614298901</v>
      </c>
      <c r="G6" s="33" t="s">
        <v>89</v>
      </c>
      <c r="H6" s="35">
        <f>INDEX(Estados!$W$2:$W$28,MATCH(G6,Estados!$A$2:$A$28,0))</f>
        <v>0.56384134070494929</v>
      </c>
      <c r="J6" s="33" t="s">
        <v>85</v>
      </c>
      <c r="K6" s="35">
        <f>INDEX(Estados!$N$2:$N$28,MATCH(J6,Estados!$A$2:$A$28,0))</f>
        <v>1.6258999999999999</v>
      </c>
    </row>
    <row r="7" spans="1:11" x14ac:dyDescent="0.25">
      <c r="A7" s="33" t="s">
        <v>105</v>
      </c>
      <c r="B7" s="34">
        <f>INDEX(Estados!$Q$2:$Q$28,MATCH(A7,Estados!$A$2:$A$28,0))</f>
        <v>2241.4388948692299</v>
      </c>
      <c r="D7" s="33" t="s">
        <v>110</v>
      </c>
      <c r="E7" s="35">
        <f>INDEX(Estados!$R$2:$R$28,MATCH(D7,Estados!$A$2:$A$28,0))</f>
        <v>0.19965717768945807</v>
      </c>
      <c r="G7" s="33" t="s">
        <v>105</v>
      </c>
      <c r="H7" s="35">
        <f>INDEX(Estados!$W$2:$W$28,MATCH(G7,Estados!$A$2:$A$28,0))</f>
        <v>0.54610781157435184</v>
      </c>
      <c r="J7" s="33" t="s">
        <v>112</v>
      </c>
      <c r="K7" s="35">
        <f>INDEX(Estados!$N$2:$N$28,MATCH(J7,Estados!$A$2:$A$28,0))</f>
        <v>1.2655000000000001</v>
      </c>
    </row>
    <row r="8" spans="1:11" x14ac:dyDescent="0.25">
      <c r="A8" s="33" t="s">
        <v>72</v>
      </c>
      <c r="B8" s="34">
        <f>INDEX(Estados!$Q$2:$Q$28,MATCH(A8,Estados!$A$2:$A$28,0))</f>
        <v>1752.9908585337757</v>
      </c>
      <c r="D8" s="33" t="s">
        <v>105</v>
      </c>
      <c r="E8" s="35">
        <f>INDEX(Estados!$R$2:$R$28,MATCH(D8,Estados!$A$2:$A$28,0))</f>
        <v>0.19764793262342492</v>
      </c>
      <c r="G8" s="33" t="s">
        <v>101</v>
      </c>
      <c r="H8" s="35">
        <f>INDEX(Estados!$W$2:$W$28,MATCH(G8,Estados!$A$2:$A$28,0))</f>
        <v>0.54300628486724856</v>
      </c>
      <c r="J8" s="33" t="s">
        <v>62</v>
      </c>
      <c r="K8" s="35">
        <f>INDEX(Estados!$N$2:$N$28,MATCH(J8,Estados!$A$2:$A$28,0))</f>
        <v>0.75800000000000001</v>
      </c>
    </row>
    <row r="9" spans="1:11" x14ac:dyDescent="0.25">
      <c r="A9" s="33" t="s">
        <v>103</v>
      </c>
      <c r="B9" s="34">
        <f>INDEX(Estados!$Q$2:$Q$28,MATCH(A9,Estados!$A$2:$A$28,0))</f>
        <v>1354.5501911034476</v>
      </c>
      <c r="D9" s="33" t="s">
        <v>68</v>
      </c>
      <c r="E9" s="35">
        <f>INDEX(Estados!$R$2:$R$28,MATCH(D9,Estados!$A$2:$A$28,0))</f>
        <v>0.19313716857827709</v>
      </c>
      <c r="G9" s="33" t="s">
        <v>60</v>
      </c>
      <c r="H9" s="35">
        <f>INDEX(Estados!$W$2:$W$28,MATCH(G9,Estados!$A$2:$A$28,0))</f>
        <v>0.53590857723204355</v>
      </c>
      <c r="J9" s="33" t="s">
        <v>95</v>
      </c>
      <c r="K9" s="35">
        <f>INDEX(Estados!$N$2:$N$28,MATCH(J9,Estados!$A$2:$A$28,0))</f>
        <v>0.62719999999999998</v>
      </c>
    </row>
    <row r="10" spans="1:11" x14ac:dyDescent="0.25">
      <c r="A10" s="33" t="s">
        <v>110</v>
      </c>
      <c r="B10" s="34">
        <f>INDEX(Estados!$Q$2:$Q$28,MATCH(A10,Estados!$A$2:$A$28,0))</f>
        <v>1297.1934513462445</v>
      </c>
      <c r="D10" s="33" t="s">
        <v>60</v>
      </c>
      <c r="E10" s="35">
        <f>INDEX(Estados!$R$2:$R$28,MATCH(D10,Estados!$A$2:$A$28,0))</f>
        <v>0.18498307186224319</v>
      </c>
      <c r="G10" s="33" t="s">
        <v>83</v>
      </c>
      <c r="H10" s="35">
        <f>INDEX(Estados!$W$2:$W$28,MATCH(G10,Estados!$A$2:$A$28,0))</f>
        <v>0.52886746048742128</v>
      </c>
      <c r="J10" s="33" t="s">
        <v>97</v>
      </c>
      <c r="K10" s="35">
        <f>INDEX(Estados!$N$2:$N$28,MATCH(J10,Estados!$A$2:$A$28,0))</f>
        <v>0.40179999999999999</v>
      </c>
    </row>
    <row r="11" spans="1:11" x14ac:dyDescent="0.25">
      <c r="A11" s="33" t="s">
        <v>75</v>
      </c>
      <c r="B11" s="34">
        <f>INDEX(Estados!$Q$2:$Q$28,MATCH(A11,Estados!$A$2:$A$28,0))</f>
        <v>1257.229212903836</v>
      </c>
      <c r="D11" s="33" t="s">
        <v>75</v>
      </c>
      <c r="E11" s="35">
        <f>INDEX(Estados!$R$2:$R$28,MATCH(D11,Estados!$A$2:$A$28,0))</f>
        <v>0.18467114137051041</v>
      </c>
      <c r="G11" s="33" t="s">
        <v>114</v>
      </c>
      <c r="H11" s="35">
        <f>INDEX(Estados!$W$2:$W$28,MATCH(G11,Estados!$A$2:$A$28,0))</f>
        <v>0.525918294004738</v>
      </c>
      <c r="J11" s="33" t="s">
        <v>68</v>
      </c>
      <c r="K11" s="35">
        <f>INDEX(Estados!$N$2:$N$28,MATCH(J11,Estados!$A$2:$A$28,0))</f>
        <v>0.371</v>
      </c>
    </row>
    <row r="12" spans="1:11" x14ac:dyDescent="0.25">
      <c r="A12" s="33" t="s">
        <v>66</v>
      </c>
      <c r="B12" s="34">
        <f>INDEX(Estados!$Q$2:$Q$28,MATCH(A12,Estados!$A$2:$A$28,0))</f>
        <v>1206.5744513033585</v>
      </c>
      <c r="D12" s="33" t="s">
        <v>70</v>
      </c>
      <c r="E12" s="35">
        <f>INDEX(Estados!$R$2:$R$28,MATCH(D12,Estados!$A$2:$A$28,0))</f>
        <v>0.17198311137520184</v>
      </c>
      <c r="G12" s="33" t="s">
        <v>64</v>
      </c>
      <c r="H12" s="35">
        <f>INDEX(Estados!$W$2:$W$28,MATCH(G12,Estados!$A$2:$A$28,0))</f>
        <v>0.50324924199420051</v>
      </c>
      <c r="J12" s="33" t="s">
        <v>70</v>
      </c>
      <c r="K12" s="35">
        <f>INDEX(Estados!$N$2:$N$28,MATCH(J12,Estados!$A$2:$A$28,0))</f>
        <v>0.3306</v>
      </c>
    </row>
    <row r="13" spans="1:11" x14ac:dyDescent="0.25">
      <c r="A13" s="33" t="s">
        <v>81</v>
      </c>
      <c r="B13" s="34">
        <f>INDEX(Estados!$Q$2:$Q$28,MATCH(A13,Estados!$A$2:$A$28,0))</f>
        <v>1109.7873268239305</v>
      </c>
      <c r="D13" s="33" t="s">
        <v>79</v>
      </c>
      <c r="E13" s="35">
        <f>INDEX(Estados!$R$2:$R$28,MATCH(D13,Estados!$A$2:$A$28,0))</f>
        <v>0.17027438644905468</v>
      </c>
      <c r="G13" s="33" t="s">
        <v>70</v>
      </c>
      <c r="H13" s="35">
        <f>INDEX(Estados!$W$2:$W$28,MATCH(G13,Estados!$A$2:$A$28,0))</f>
        <v>0.49818226733460824</v>
      </c>
      <c r="J13" s="33" t="s">
        <v>93</v>
      </c>
      <c r="K13" s="35">
        <f>INDEX(Estados!$N$2:$N$28,MATCH(J13,Estados!$A$2:$A$28,0))</f>
        <v>0.30070000000000002</v>
      </c>
    </row>
    <row r="14" spans="1:11" x14ac:dyDescent="0.25">
      <c r="A14" s="33" t="s">
        <v>93</v>
      </c>
      <c r="B14" s="34">
        <f>INDEX(Estados!$Q$2:$Q$28,MATCH(A14,Estados!$A$2:$A$28,0))</f>
        <v>1008.084878980869</v>
      </c>
      <c r="D14" s="33" t="s">
        <v>89</v>
      </c>
      <c r="E14" s="35">
        <f>INDEX(Estados!$R$2:$R$28,MATCH(D14,Estados!$A$2:$A$28,0))</f>
        <v>0.16507195809990036</v>
      </c>
      <c r="G14" s="33" t="s">
        <v>77</v>
      </c>
      <c r="H14" s="35">
        <f>INDEX(Estados!$W$2:$W$28,MATCH(G14,Estados!$A$2:$A$28,0))</f>
        <v>0.49704858171685429</v>
      </c>
      <c r="J14" s="33" t="s">
        <v>66</v>
      </c>
      <c r="K14" s="35">
        <f>INDEX(Estados!$N$2:$N$28,MATCH(J14,Estados!$A$2:$A$28,0))</f>
        <v>0.29680000000000001</v>
      </c>
    </row>
    <row r="15" spans="1:11" x14ac:dyDescent="0.25">
      <c r="A15" s="33" t="s">
        <v>95</v>
      </c>
      <c r="B15" s="34">
        <f>INDEX(Estados!$Q$2:$Q$28,MATCH(A15,Estados!$A$2:$A$28,0))</f>
        <v>1002.4515846003994</v>
      </c>
      <c r="D15" s="33" t="s">
        <v>108</v>
      </c>
      <c r="E15" s="35">
        <f>INDEX(Estados!$R$2:$R$28,MATCH(D15,Estados!$A$2:$A$28,0))</f>
        <v>0.16400819754439974</v>
      </c>
      <c r="G15" s="33" t="s">
        <v>87</v>
      </c>
      <c r="H15" s="35">
        <f>INDEX(Estados!$W$2:$W$28,MATCH(G15,Estados!$A$2:$A$28,0))</f>
        <v>0.49149843377520114</v>
      </c>
      <c r="J15" s="33" t="s">
        <v>108</v>
      </c>
      <c r="K15" s="35">
        <f>INDEX(Estados!$N$2:$N$28,MATCH(J15,Estados!$A$2:$A$28,0))</f>
        <v>0.28360000000000002</v>
      </c>
    </row>
    <row r="16" spans="1:11" x14ac:dyDescent="0.25">
      <c r="A16" s="33" t="s">
        <v>108</v>
      </c>
      <c r="B16" s="34">
        <f>INDEX(Estados!$Q$2:$Q$28,MATCH(A16,Estados!$A$2:$A$28,0))</f>
        <v>967.20842023165528</v>
      </c>
      <c r="D16" s="33" t="s">
        <v>103</v>
      </c>
      <c r="E16" s="35">
        <f>INDEX(Estados!$R$2:$R$28,MATCH(D16,Estados!$A$2:$A$28,0))</f>
        <v>0.16282473031074773</v>
      </c>
      <c r="G16" s="33" t="s">
        <v>95</v>
      </c>
      <c r="H16" s="35">
        <f>INDEX(Estados!$W$2:$W$28,MATCH(G16,Estados!$A$2:$A$28,0))</f>
        <v>0.48874198272770658</v>
      </c>
      <c r="J16" s="33" t="s">
        <v>83</v>
      </c>
      <c r="K16" s="35">
        <f>INDEX(Estados!$N$2:$N$28,MATCH(J16,Estados!$A$2:$A$28,0))</f>
        <v>0.2475</v>
      </c>
    </row>
    <row r="17" spans="1:11" x14ac:dyDescent="0.25">
      <c r="A17" s="33" t="s">
        <v>62</v>
      </c>
      <c r="B17" s="34">
        <f>INDEX(Estados!$Q$2:$Q$28,MATCH(A17,Estados!$A$2:$A$28,0))</f>
        <v>945.93152759972975</v>
      </c>
      <c r="D17" s="33" t="s">
        <v>95</v>
      </c>
      <c r="E17" s="35">
        <f>INDEX(Estados!$R$2:$R$28,MATCH(D17,Estados!$A$2:$A$28,0))</f>
        <v>0.16188045148877353</v>
      </c>
      <c r="G17" s="33" t="s">
        <v>68</v>
      </c>
      <c r="H17" s="35">
        <f>INDEX(Estados!$W$2:$W$28,MATCH(G17,Estados!$A$2:$A$28,0))</f>
        <v>0.48077868082161634</v>
      </c>
      <c r="J17" s="33" t="s">
        <v>77</v>
      </c>
      <c r="K17" s="35">
        <f>INDEX(Estados!$N$2:$N$28,MATCH(J17,Estados!$A$2:$A$28,0))</f>
        <v>0.2432</v>
      </c>
    </row>
    <row r="18" spans="1:11" x14ac:dyDescent="0.25">
      <c r="A18" s="33" t="s">
        <v>68</v>
      </c>
      <c r="B18" s="34">
        <f>INDEX(Estados!$Q$2:$Q$28,MATCH(A18,Estados!$A$2:$A$28,0))</f>
        <v>928.76885291504743</v>
      </c>
      <c r="D18" s="33" t="s">
        <v>62</v>
      </c>
      <c r="E18" s="35">
        <f>INDEX(Estados!$R$2:$R$28,MATCH(D18,Estados!$A$2:$A$28,0))</f>
        <v>0.16058095078308779</v>
      </c>
      <c r="G18" s="33" t="s">
        <v>93</v>
      </c>
      <c r="H18" s="35">
        <f>INDEX(Estados!$W$2:$W$28,MATCH(G18,Estados!$A$2:$A$28,0))</f>
        <v>0.47767397637877512</v>
      </c>
      <c r="J18" s="33" t="s">
        <v>60</v>
      </c>
      <c r="K18" s="35">
        <f>INDEX(Estados!$N$2:$N$28,MATCH(J18,Estados!$A$2:$A$28,0))</f>
        <v>0.19769999999999999</v>
      </c>
    </row>
    <row r="19" spans="1:11" x14ac:dyDescent="0.25">
      <c r="A19" s="33" t="s">
        <v>99</v>
      </c>
      <c r="B19" s="34">
        <f>INDEX(Estados!$Q$2:$Q$28,MATCH(A19,Estados!$A$2:$A$28,0))</f>
        <v>925.30202891473368</v>
      </c>
      <c r="D19" s="33" t="s">
        <v>99</v>
      </c>
      <c r="E19" s="35">
        <f>INDEX(Estados!$R$2:$R$28,MATCH(D19,Estados!$A$2:$A$28,0))</f>
        <v>0.16050609272647273</v>
      </c>
      <c r="G19" s="33" t="s">
        <v>108</v>
      </c>
      <c r="H19" s="35">
        <f>INDEX(Estados!$W$2:$W$28,MATCH(G19,Estados!$A$2:$A$28,0))</f>
        <v>0.47229684463866056</v>
      </c>
      <c r="J19" s="33" t="s">
        <v>72</v>
      </c>
      <c r="K19" s="35">
        <f>INDEX(Estados!$N$2:$N$28,MATCH(J19,Estados!$A$2:$A$28,0))</f>
        <v>0.13120000000000001</v>
      </c>
    </row>
    <row r="20" spans="1:11" x14ac:dyDescent="0.25">
      <c r="A20" s="33" t="s">
        <v>83</v>
      </c>
      <c r="B20" s="34">
        <f>INDEX(Estados!$Q$2:$Q$28,MATCH(A20,Estados!$A$2:$A$28,0))</f>
        <v>911.59771560308013</v>
      </c>
      <c r="D20" s="33" t="s">
        <v>66</v>
      </c>
      <c r="E20" s="35">
        <f>INDEX(Estados!$R$2:$R$28,MATCH(D20,Estados!$A$2:$A$28,0))</f>
        <v>0.15408601950996506</v>
      </c>
      <c r="G20" s="33" t="s">
        <v>110</v>
      </c>
      <c r="H20" s="35">
        <f>INDEX(Estados!$W$2:$W$28,MATCH(G20,Estados!$A$2:$A$28,0))</f>
        <v>0.4688750341693641</v>
      </c>
      <c r="J20" s="33" t="s">
        <v>110</v>
      </c>
      <c r="K20" s="35">
        <f>INDEX(Estados!$N$2:$N$28,MATCH(J20,Estados!$A$2:$A$28,0))</f>
        <v>0.11559999999999999</v>
      </c>
    </row>
    <row r="21" spans="1:11" x14ac:dyDescent="0.25">
      <c r="A21" s="33" t="s">
        <v>112</v>
      </c>
      <c r="B21" s="34">
        <f>INDEX(Estados!$Q$2:$Q$28,MATCH(A21,Estados!$A$2:$A$28,0))</f>
        <v>879.36077572813406</v>
      </c>
      <c r="D21" s="33" t="s">
        <v>97</v>
      </c>
      <c r="E21" s="35">
        <f>INDEX(Estados!$R$2:$R$28,MATCH(D21,Estados!$A$2:$A$28,0))</f>
        <v>0.14537925044526345</v>
      </c>
      <c r="G21" s="33" t="s">
        <v>99</v>
      </c>
      <c r="H21" s="35">
        <f>INDEX(Estados!$W$2:$W$28,MATCH(G21,Estados!$A$2:$A$28,0))</f>
        <v>0.4647114512018537</v>
      </c>
      <c r="J21" s="33" t="s">
        <v>114</v>
      </c>
      <c r="K21" s="35">
        <f>INDEX(Estados!$N$2:$N$28,MATCH(J21,Estados!$A$2:$A$28,0))</f>
        <v>0.10920000000000001</v>
      </c>
    </row>
    <row r="22" spans="1:11" x14ac:dyDescent="0.25">
      <c r="A22" s="33" t="s">
        <v>97</v>
      </c>
      <c r="B22" s="34">
        <f>INDEX(Estados!$Q$2:$Q$28,MATCH(A22,Estados!$A$2:$A$28,0))</f>
        <v>807.51911302175722</v>
      </c>
      <c r="D22" s="33" t="s">
        <v>72</v>
      </c>
      <c r="E22" s="35">
        <f>INDEX(Estados!$R$2:$R$28,MATCH(D22,Estados!$A$2:$A$28,0))</f>
        <v>0.140692366907712</v>
      </c>
      <c r="G22" s="33" t="s">
        <v>91</v>
      </c>
      <c r="H22" s="35">
        <f>INDEX(Estados!$W$2:$W$28,MATCH(G22,Estados!$A$2:$A$28,0))</f>
        <v>0.46092229568460252</v>
      </c>
      <c r="J22" s="33" t="s">
        <v>105</v>
      </c>
      <c r="K22" s="35">
        <f>INDEX(Estados!$N$2:$N$28,MATCH(J22,Estados!$A$2:$A$28,0))</f>
        <v>0.1002</v>
      </c>
    </row>
    <row r="23" spans="1:11" x14ac:dyDescent="0.25">
      <c r="A23" s="33" t="s">
        <v>87</v>
      </c>
      <c r="B23" s="34">
        <f>INDEX(Estados!$Q$2:$Q$28,MATCH(A23,Estados!$A$2:$A$28,0))</f>
        <v>785.01875795551086</v>
      </c>
      <c r="D23" s="33" t="s">
        <v>85</v>
      </c>
      <c r="E23" s="35">
        <f>INDEX(Estados!$R$2:$R$28,MATCH(D23,Estados!$A$2:$A$28,0))</f>
        <v>0.13325666158182603</v>
      </c>
      <c r="G23" s="33" t="s">
        <v>103</v>
      </c>
      <c r="H23" s="35">
        <f>INDEX(Estados!$W$2:$W$28,MATCH(G23,Estados!$A$2:$A$28,0))</f>
        <v>0.45139959451365808</v>
      </c>
      <c r="J23" s="33" t="s">
        <v>91</v>
      </c>
      <c r="K23" s="35">
        <f>INDEX(Estados!$N$2:$N$28,MATCH(J23,Estados!$A$2:$A$28,0))</f>
        <v>7.17E-2</v>
      </c>
    </row>
    <row r="24" spans="1:11" x14ac:dyDescent="0.25">
      <c r="A24" s="33" t="s">
        <v>89</v>
      </c>
      <c r="B24" s="34">
        <f>INDEX(Estados!$Q$2:$Q$28,MATCH(A24,Estados!$A$2:$A$28,0))</f>
        <v>765.53845052641225</v>
      </c>
      <c r="D24" s="33" t="s">
        <v>87</v>
      </c>
      <c r="E24" s="35">
        <f>INDEX(Estados!$R$2:$R$28,MATCH(D24,Estados!$A$2:$A$28,0))</f>
        <v>0.13293236590917895</v>
      </c>
      <c r="G24" s="33" t="s">
        <v>66</v>
      </c>
      <c r="H24" s="35">
        <f>INDEX(Estados!$W$2:$W$28,MATCH(G24,Estados!$A$2:$A$28,0))</f>
        <v>0.44764885922923847</v>
      </c>
      <c r="J24" s="33" t="s">
        <v>79</v>
      </c>
      <c r="K24" s="35">
        <f>INDEX(Estados!$N$2:$N$28,MATCH(J24,Estados!$A$2:$A$28,0))</f>
        <v>3.0300000000000001E-2</v>
      </c>
    </row>
    <row r="25" spans="1:11" x14ac:dyDescent="0.25">
      <c r="A25" s="33" t="s">
        <v>77</v>
      </c>
      <c r="B25" s="34">
        <f>INDEX(Estados!$Q$2:$Q$28,MATCH(A25,Estados!$A$2:$A$28,0))</f>
        <v>759.07891307006628</v>
      </c>
      <c r="D25" s="33" t="s">
        <v>77</v>
      </c>
      <c r="E25" s="35">
        <f>INDEX(Estados!$R$2:$R$28,MATCH(D25,Estados!$A$2:$A$28,0))</f>
        <v>0.13281814593866442</v>
      </c>
      <c r="G25" s="33" t="s">
        <v>81</v>
      </c>
      <c r="H25" s="35">
        <f>INDEX(Estados!$W$2:$W$28,MATCH(G25,Estados!$A$2:$A$28,0))</f>
        <v>0.44037030531095511</v>
      </c>
      <c r="J25" s="33" t="s">
        <v>103</v>
      </c>
      <c r="K25" s="35">
        <f>INDEX(Estados!$N$2:$N$28,MATCH(J25,Estados!$A$2:$A$28,0))</f>
        <v>-1.34E-2</v>
      </c>
    </row>
    <row r="26" spans="1:11" x14ac:dyDescent="0.25">
      <c r="A26" s="33" t="s">
        <v>70</v>
      </c>
      <c r="B26" s="34">
        <f>INDEX(Estados!$Q$2:$Q$28,MATCH(A26,Estados!$A$2:$A$28,0))</f>
        <v>749.17192559047032</v>
      </c>
      <c r="D26" s="33" t="s">
        <v>91</v>
      </c>
      <c r="E26" s="35">
        <f>INDEX(Estados!$R$2:$R$28,MATCH(D26,Estados!$A$2:$A$28,0))</f>
        <v>0.13137585584222264</v>
      </c>
      <c r="G26" s="33" t="s">
        <v>112</v>
      </c>
      <c r="H26" s="35">
        <f>INDEX(Estados!$W$2:$W$28,MATCH(G26,Estados!$A$2:$A$28,0))</f>
        <v>0.43888519536502002</v>
      </c>
      <c r="J26" s="33" t="s">
        <v>89</v>
      </c>
      <c r="K26" s="35">
        <f>INDEX(Estados!$N$2:$N$28,MATCH(J26,Estados!$A$2:$A$28,0))</f>
        <v>-2.3699999999999999E-2</v>
      </c>
    </row>
    <row r="27" spans="1:11" x14ac:dyDescent="0.25">
      <c r="A27" s="33" t="s">
        <v>79</v>
      </c>
      <c r="B27" s="34">
        <f>INDEX(Estados!$Q$2:$Q$28,MATCH(A27,Estados!$A$2:$A$28,0))</f>
        <v>685.28903926851672</v>
      </c>
      <c r="D27" s="33" t="s">
        <v>81</v>
      </c>
      <c r="E27" s="35">
        <f>INDEX(Estados!$R$2:$R$28,MATCH(D27,Estados!$A$2:$A$28,0))</f>
        <v>0.11740383409649818</v>
      </c>
      <c r="G27" s="33" t="s">
        <v>75</v>
      </c>
      <c r="H27" s="35">
        <f>INDEX(Estados!$W$2:$W$28,MATCH(G27,Estados!$A$2:$A$28,0))</f>
        <v>0.42917980142169798</v>
      </c>
      <c r="J27" s="33" t="s">
        <v>87</v>
      </c>
      <c r="K27" s="35">
        <f>INDEX(Estados!$N$2:$N$28,MATCH(J27,Estados!$A$2:$A$28,0))</f>
        <v>-5.0700000000000002E-2</v>
      </c>
    </row>
    <row r="28" spans="1:11" x14ac:dyDescent="0.25">
      <c r="A28" s="33" t="s">
        <v>91</v>
      </c>
      <c r="B28" s="34">
        <f>INDEX(Estados!$Q$2:$Q$28,MATCH(A28,Estados!$A$2:$A$28,0))</f>
        <v>681.46971808244075</v>
      </c>
      <c r="D28" s="33" t="s">
        <v>112</v>
      </c>
      <c r="E28" s="35">
        <f>INDEX(Estados!$R$2:$R$28,MATCH(D28,Estados!$A$2:$A$28,0))</f>
        <v>0.11693410302024462</v>
      </c>
      <c r="G28" s="33" t="s">
        <v>62</v>
      </c>
      <c r="H28" s="35">
        <f>INDEX(Estados!$W$2:$W$28,MATCH(G28,Estados!$A$2:$A$28,0))</f>
        <v>0.41658751653738013</v>
      </c>
      <c r="J28" s="33" t="s">
        <v>64</v>
      </c>
      <c r="K28" s="35">
        <f>INDEX(Estados!$N$2:$N$28,MATCH(J28,Estados!$A$2:$A$28,0))</f>
        <v>-6.88E-2</v>
      </c>
    </row>
    <row r="29" spans="1:11" x14ac:dyDescent="0.25">
      <c r="A29" s="33" t="s">
        <v>85</v>
      </c>
      <c r="B29" s="34">
        <f>INDEX(Estados!$Q$2:$Q$28,MATCH(A29,Estados!$A$2:$A$28,0))</f>
        <v>666.93054848940028</v>
      </c>
      <c r="D29" s="33" t="s">
        <v>83</v>
      </c>
      <c r="E29" s="35">
        <f>INDEX(Estados!$R$2:$R$28,MATCH(D29,Estados!$A$2:$A$28,0))</f>
        <v>0.1153678566221442</v>
      </c>
      <c r="G29" s="33" t="s">
        <v>79</v>
      </c>
      <c r="H29" s="35">
        <f>INDEX(Estados!$W$2:$W$28,MATCH(G29,Estados!$A$2:$A$28,0))</f>
        <v>0.39200297089696284</v>
      </c>
      <c r="J29" s="33" t="s">
        <v>75</v>
      </c>
      <c r="K29" s="35">
        <f>INDEX(Estados!$N$2:$N$28,MATCH(J29,Estados!$A$2:$A$28,0))</f>
        <v>-9.7599999999999992E-2</v>
      </c>
    </row>
    <row r="30" spans="1:11" x14ac:dyDescent="0.25">
      <c r="A30" s="33" t="s">
        <v>101</v>
      </c>
      <c r="B30" s="34">
        <f>INDEX(Estados!$Q$2:$Q$28,MATCH(A30,Estados!$A$2:$A$28,0))</f>
        <v>606.24371310638253</v>
      </c>
      <c r="D30" s="33" t="s">
        <v>101</v>
      </c>
      <c r="E30" s="35">
        <f>INDEX(Estados!$R$2:$R$28,MATCH(D30,Estados!$A$2:$A$28,0))</f>
        <v>0.10386532501291376</v>
      </c>
      <c r="J30" s="33" t="s">
        <v>81</v>
      </c>
      <c r="K30" s="35">
        <f>INDEX(Estados!$N$2:$N$28,MATCH(J30,Estados!$A$2:$A$28,0))</f>
        <v>-0.14480000000000001</v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"/>
  <sheetViews>
    <sheetView workbookViewId="0"/>
  </sheetViews>
  <sheetFormatPr defaultRowHeight="14.3" x14ac:dyDescent="0.25"/>
  <sheetData>
    <row r="1" spans="2:2" ht="15.7" x14ac:dyDescent="0.25">
      <c r="B1" s="29" t="s">
        <v>347</v>
      </c>
    </row>
  </sheetData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92"/>
  <sheetViews>
    <sheetView workbookViewId="0"/>
  </sheetViews>
  <sheetFormatPr defaultRowHeight="14.3" x14ac:dyDescent="0.25"/>
  <cols>
    <col min="1" max="1" width="26" customWidth="1"/>
    <col min="2" max="2" width="38" customWidth="1"/>
    <col min="3" max="4" width="70" customWidth="1"/>
  </cols>
  <sheetData>
    <row r="1" spans="1:4" ht="20" x14ac:dyDescent="0.3">
      <c r="A1" s="36" t="s">
        <v>348</v>
      </c>
    </row>
    <row r="3" spans="1:4" ht="15.7" x14ac:dyDescent="0.25">
      <c r="A3" s="29" t="s">
        <v>349</v>
      </c>
    </row>
    <row r="4" spans="1:4" x14ac:dyDescent="0.25">
      <c r="A4" s="37" t="s">
        <v>350</v>
      </c>
      <c r="B4" s="37" t="s">
        <v>351</v>
      </c>
    </row>
    <row r="5" spans="1:4" ht="29.95" customHeight="1" x14ac:dyDescent="0.25">
      <c r="A5" s="32" t="s">
        <v>352</v>
      </c>
      <c r="B5" s="38" t="s">
        <v>353</v>
      </c>
      <c r="C5" s="39"/>
      <c r="D5" s="39"/>
    </row>
    <row r="6" spans="1:4" ht="29.95" customHeight="1" x14ac:dyDescent="0.25">
      <c r="A6" s="32" t="s">
        <v>354</v>
      </c>
      <c r="B6" s="38" t="s">
        <v>355</v>
      </c>
      <c r="C6" s="39"/>
      <c r="D6" s="39"/>
    </row>
    <row r="7" spans="1:4" ht="29.95" customHeight="1" x14ac:dyDescent="0.25">
      <c r="A7" s="32" t="s">
        <v>356</v>
      </c>
      <c r="B7" s="38" t="s">
        <v>357</v>
      </c>
      <c r="C7" s="39"/>
      <c r="D7" s="39"/>
    </row>
    <row r="8" spans="1:4" ht="29.95" customHeight="1" x14ac:dyDescent="0.25">
      <c r="A8" s="32" t="s">
        <v>358</v>
      </c>
      <c r="B8" s="38" t="s">
        <v>359</v>
      </c>
      <c r="C8" s="39"/>
      <c r="D8" s="39"/>
    </row>
    <row r="9" spans="1:4" ht="29.95" customHeight="1" x14ac:dyDescent="0.25">
      <c r="A9" s="32" t="s">
        <v>360</v>
      </c>
      <c r="B9" s="38" t="s">
        <v>361</v>
      </c>
      <c r="C9" s="39"/>
      <c r="D9" s="39"/>
    </row>
    <row r="10" spans="1:4" ht="29.95" customHeight="1" x14ac:dyDescent="0.25">
      <c r="A10" s="32" t="s">
        <v>362</v>
      </c>
      <c r="B10" s="38" t="s">
        <v>363</v>
      </c>
      <c r="C10" s="39"/>
      <c r="D10" s="39"/>
    </row>
    <row r="11" spans="1:4" ht="29.95" customHeight="1" x14ac:dyDescent="0.25">
      <c r="A11" s="32" t="s">
        <v>364</v>
      </c>
      <c r="B11" s="38" t="s">
        <v>365</v>
      </c>
      <c r="C11" s="39"/>
      <c r="D11" s="39"/>
    </row>
    <row r="12" spans="1:4" ht="29.95" customHeight="1" x14ac:dyDescent="0.25">
      <c r="A12" s="32" t="s">
        <v>366</v>
      </c>
      <c r="B12" s="38" t="s">
        <v>367</v>
      </c>
      <c r="C12" s="39"/>
      <c r="D12" s="39"/>
    </row>
    <row r="13" spans="1:4" ht="29.95" customHeight="1" x14ac:dyDescent="0.25">
      <c r="A13" s="32" t="s">
        <v>368</v>
      </c>
      <c r="B13" s="38" t="s">
        <v>369</v>
      </c>
      <c r="C13" s="39"/>
      <c r="D13" s="39"/>
    </row>
    <row r="14" spans="1:4" ht="29.95" customHeight="1" x14ac:dyDescent="0.25">
      <c r="A14" s="32" t="s">
        <v>370</v>
      </c>
      <c r="B14" s="38" t="s">
        <v>371</v>
      </c>
      <c r="C14" s="39"/>
      <c r="D14" s="39"/>
    </row>
    <row r="15" spans="1:4" ht="29.95" customHeight="1" x14ac:dyDescent="0.25">
      <c r="A15" s="32" t="s">
        <v>346</v>
      </c>
      <c r="B15" s="38" t="s">
        <v>372</v>
      </c>
      <c r="C15" s="39"/>
      <c r="D15" s="39"/>
    </row>
    <row r="16" spans="1:4" ht="29.95" customHeight="1" x14ac:dyDescent="0.25">
      <c r="A16" s="32" t="s">
        <v>373</v>
      </c>
      <c r="B16" s="38" t="s">
        <v>374</v>
      </c>
      <c r="C16" s="39"/>
      <c r="D16" s="39"/>
    </row>
    <row r="17" spans="1:4" ht="29.95" customHeight="1" x14ac:dyDescent="0.25">
      <c r="A17" s="32" t="s">
        <v>375</v>
      </c>
      <c r="B17" s="38" t="s">
        <v>376</v>
      </c>
      <c r="C17" s="39"/>
      <c r="D17" s="39"/>
    </row>
    <row r="18" spans="1:4" ht="29.95" customHeight="1" x14ac:dyDescent="0.25">
      <c r="A18" s="32" t="s">
        <v>377</v>
      </c>
      <c r="B18" s="38" t="s">
        <v>378</v>
      </c>
      <c r="C18" s="39"/>
      <c r="D18" s="39"/>
    </row>
    <row r="19" spans="1:4" ht="29.95" customHeight="1" x14ac:dyDescent="0.25">
      <c r="A19" s="32" t="s">
        <v>379</v>
      </c>
      <c r="B19" s="38" t="s">
        <v>380</v>
      </c>
      <c r="C19" s="39"/>
      <c r="D19" s="39"/>
    </row>
    <row r="20" spans="1:4" ht="29.95" customHeight="1" x14ac:dyDescent="0.25">
      <c r="A20" s="32" t="s">
        <v>381</v>
      </c>
      <c r="B20" s="38" t="s">
        <v>382</v>
      </c>
      <c r="C20" s="39"/>
      <c r="D20" s="39"/>
    </row>
    <row r="22" spans="1:4" ht="15.7" x14ac:dyDescent="0.25">
      <c r="A22" s="29" t="s">
        <v>383</v>
      </c>
    </row>
    <row r="23" spans="1:4" x14ac:dyDescent="0.25">
      <c r="A23" s="37" t="s">
        <v>384</v>
      </c>
      <c r="B23" s="37" t="s">
        <v>385</v>
      </c>
      <c r="C23" s="37" t="s">
        <v>386</v>
      </c>
      <c r="D23" s="37" t="s">
        <v>387</v>
      </c>
    </row>
    <row r="24" spans="1:4" ht="29.95" customHeight="1" x14ac:dyDescent="0.25">
      <c r="A24" s="33" t="s">
        <v>388</v>
      </c>
      <c r="B24" s="32" t="s">
        <v>29</v>
      </c>
      <c r="C24" s="2" t="s">
        <v>389</v>
      </c>
      <c r="D24" s="2" t="s">
        <v>390</v>
      </c>
    </row>
    <row r="25" spans="1:4" ht="29.95" customHeight="1" x14ac:dyDescent="0.25">
      <c r="A25" s="33" t="s">
        <v>388</v>
      </c>
      <c r="B25" s="32" t="s">
        <v>30</v>
      </c>
      <c r="C25" s="2" t="s">
        <v>391</v>
      </c>
      <c r="D25" s="2" t="s">
        <v>392</v>
      </c>
    </row>
    <row r="26" spans="1:4" ht="29.95" customHeight="1" x14ac:dyDescent="0.25">
      <c r="A26" s="33" t="s">
        <v>388</v>
      </c>
      <c r="B26" s="32" t="s">
        <v>31</v>
      </c>
      <c r="C26" s="2" t="s">
        <v>393</v>
      </c>
      <c r="D26" s="2" t="s">
        <v>394</v>
      </c>
    </row>
    <row r="27" spans="1:4" ht="29.95" customHeight="1" x14ac:dyDescent="0.25">
      <c r="A27" s="33" t="s">
        <v>388</v>
      </c>
      <c r="B27" s="32" t="s">
        <v>32</v>
      </c>
      <c r="C27" s="2" t="s">
        <v>395</v>
      </c>
      <c r="D27" s="2" t="s">
        <v>396</v>
      </c>
    </row>
    <row r="28" spans="1:4" ht="29.95" customHeight="1" x14ac:dyDescent="0.25">
      <c r="A28" s="33" t="s">
        <v>388</v>
      </c>
      <c r="B28" s="32" t="s">
        <v>33</v>
      </c>
      <c r="C28" s="2" t="s">
        <v>397</v>
      </c>
      <c r="D28" s="2" t="s">
        <v>398</v>
      </c>
    </row>
    <row r="29" spans="1:4" ht="29.95" customHeight="1" x14ac:dyDescent="0.25">
      <c r="A29" s="33" t="s">
        <v>388</v>
      </c>
      <c r="B29" s="32" t="s">
        <v>34</v>
      </c>
      <c r="C29" s="2" t="s">
        <v>399</v>
      </c>
      <c r="D29" s="2" t="s">
        <v>400</v>
      </c>
    </row>
    <row r="30" spans="1:4" ht="29.95" customHeight="1" x14ac:dyDescent="0.25">
      <c r="A30" s="33" t="s">
        <v>388</v>
      </c>
      <c r="B30" s="32" t="s">
        <v>35</v>
      </c>
      <c r="C30" s="2" t="s">
        <v>401</v>
      </c>
      <c r="D30" s="2" t="s">
        <v>402</v>
      </c>
    </row>
    <row r="31" spans="1:4" ht="29.95" customHeight="1" x14ac:dyDescent="0.25">
      <c r="A31" s="33" t="s">
        <v>388</v>
      </c>
      <c r="B31" s="32" t="s">
        <v>36</v>
      </c>
      <c r="C31" s="2" t="s">
        <v>403</v>
      </c>
      <c r="D31" s="2" t="s">
        <v>404</v>
      </c>
    </row>
    <row r="32" spans="1:4" ht="29.95" customHeight="1" x14ac:dyDescent="0.25">
      <c r="A32" s="33" t="s">
        <v>388</v>
      </c>
      <c r="B32" s="32" t="s">
        <v>37</v>
      </c>
      <c r="C32" s="2" t="s">
        <v>405</v>
      </c>
      <c r="D32" s="2" t="s">
        <v>406</v>
      </c>
    </row>
    <row r="33" spans="1:4" ht="29.95" customHeight="1" x14ac:dyDescent="0.25">
      <c r="A33" s="33" t="s">
        <v>388</v>
      </c>
      <c r="B33" s="32" t="s">
        <v>38</v>
      </c>
      <c r="C33" s="2" t="s">
        <v>407</v>
      </c>
      <c r="D33" s="2" t="s">
        <v>406</v>
      </c>
    </row>
    <row r="34" spans="1:4" ht="29.95" customHeight="1" x14ac:dyDescent="0.25">
      <c r="A34" s="33" t="s">
        <v>388</v>
      </c>
      <c r="B34" s="32" t="s">
        <v>39</v>
      </c>
      <c r="C34" s="2" t="s">
        <v>408</v>
      </c>
      <c r="D34" s="2" t="s">
        <v>406</v>
      </c>
    </row>
    <row r="35" spans="1:4" ht="29.95" customHeight="1" x14ac:dyDescent="0.25">
      <c r="A35" s="33" t="s">
        <v>388</v>
      </c>
      <c r="B35" s="32" t="s">
        <v>40</v>
      </c>
      <c r="C35" s="2" t="s">
        <v>409</v>
      </c>
      <c r="D35" s="2" t="s">
        <v>406</v>
      </c>
    </row>
    <row r="36" spans="1:4" ht="29.95" customHeight="1" x14ac:dyDescent="0.25">
      <c r="A36" s="33" t="s">
        <v>388</v>
      </c>
      <c r="B36" s="32" t="s">
        <v>41</v>
      </c>
      <c r="C36" s="2" t="s">
        <v>410</v>
      </c>
      <c r="D36" s="2" t="s">
        <v>406</v>
      </c>
    </row>
    <row r="37" spans="1:4" ht="29.95" customHeight="1" x14ac:dyDescent="0.25">
      <c r="A37" s="33" t="s">
        <v>388</v>
      </c>
      <c r="B37" s="32" t="s">
        <v>42</v>
      </c>
      <c r="C37" s="2" t="s">
        <v>411</v>
      </c>
      <c r="D37" s="2" t="s">
        <v>412</v>
      </c>
    </row>
    <row r="38" spans="1:4" ht="29.95" customHeight="1" x14ac:dyDescent="0.25">
      <c r="A38" s="33" t="s">
        <v>388</v>
      </c>
      <c r="B38" s="32" t="s">
        <v>43</v>
      </c>
      <c r="C38" s="2" t="s">
        <v>413</v>
      </c>
      <c r="D38" s="2" t="s">
        <v>414</v>
      </c>
    </row>
    <row r="39" spans="1:4" ht="29.95" customHeight="1" x14ac:dyDescent="0.25">
      <c r="A39" s="33" t="s">
        <v>388</v>
      </c>
      <c r="B39" s="32" t="s">
        <v>44</v>
      </c>
      <c r="C39" s="2" t="s">
        <v>415</v>
      </c>
      <c r="D39" s="2" t="s">
        <v>416</v>
      </c>
    </row>
    <row r="40" spans="1:4" ht="29.95" customHeight="1" x14ac:dyDescent="0.25">
      <c r="A40" s="33" t="s">
        <v>388</v>
      </c>
      <c r="B40" s="32" t="s">
        <v>45</v>
      </c>
      <c r="C40" s="2" t="s">
        <v>417</v>
      </c>
      <c r="D40" s="2" t="s">
        <v>418</v>
      </c>
    </row>
    <row r="41" spans="1:4" ht="29.95" customHeight="1" x14ac:dyDescent="0.25">
      <c r="A41" s="33" t="s">
        <v>388</v>
      </c>
      <c r="B41" s="32" t="s">
        <v>46</v>
      </c>
      <c r="C41" s="2" t="s">
        <v>419</v>
      </c>
      <c r="D41" s="2" t="s">
        <v>420</v>
      </c>
    </row>
    <row r="42" spans="1:4" ht="29.95" customHeight="1" x14ac:dyDescent="0.25">
      <c r="A42" s="33" t="s">
        <v>388</v>
      </c>
      <c r="B42" s="32" t="s">
        <v>47</v>
      </c>
      <c r="C42" s="2" t="s">
        <v>421</v>
      </c>
      <c r="D42" s="2" t="s">
        <v>422</v>
      </c>
    </row>
    <row r="43" spans="1:4" ht="29.95" customHeight="1" x14ac:dyDescent="0.25">
      <c r="A43" s="33" t="s">
        <v>388</v>
      </c>
      <c r="B43" s="32" t="s">
        <v>48</v>
      </c>
      <c r="C43" s="2" t="s">
        <v>423</v>
      </c>
      <c r="D43" s="2" t="s">
        <v>424</v>
      </c>
    </row>
    <row r="44" spans="1:4" ht="29.95" customHeight="1" x14ac:dyDescent="0.25">
      <c r="A44" s="33" t="s">
        <v>388</v>
      </c>
      <c r="B44" s="32" t="s">
        <v>49</v>
      </c>
      <c r="C44" s="2" t="s">
        <v>425</v>
      </c>
      <c r="D44" s="2" t="s">
        <v>426</v>
      </c>
    </row>
    <row r="45" spans="1:4" ht="29.95" customHeight="1" x14ac:dyDescent="0.25">
      <c r="A45" s="33" t="s">
        <v>388</v>
      </c>
      <c r="B45" s="32" t="s">
        <v>50</v>
      </c>
      <c r="C45" s="2" t="s">
        <v>427</v>
      </c>
      <c r="D45" s="2" t="s">
        <v>428</v>
      </c>
    </row>
    <row r="46" spans="1:4" ht="29.95" customHeight="1" x14ac:dyDescent="0.25">
      <c r="A46" s="33" t="s">
        <v>388</v>
      </c>
      <c r="B46" s="32" t="s">
        <v>51</v>
      </c>
      <c r="C46" s="2" t="s">
        <v>429</v>
      </c>
      <c r="D46" s="2" t="s">
        <v>430</v>
      </c>
    </row>
    <row r="47" spans="1:4" ht="29.95" customHeight="1" x14ac:dyDescent="0.25">
      <c r="A47" s="33" t="s">
        <v>388</v>
      </c>
      <c r="B47" s="32" t="s">
        <v>52</v>
      </c>
      <c r="C47" s="2" t="s">
        <v>431</v>
      </c>
      <c r="D47" s="2" t="s">
        <v>432</v>
      </c>
    </row>
    <row r="48" spans="1:4" ht="29.95" customHeight="1" x14ac:dyDescent="0.25">
      <c r="A48" s="33" t="s">
        <v>388</v>
      </c>
      <c r="B48" s="32" t="s">
        <v>53</v>
      </c>
      <c r="C48" s="2" t="s">
        <v>433</v>
      </c>
      <c r="D48" s="2" t="s">
        <v>434</v>
      </c>
    </row>
    <row r="49" spans="1:4" ht="29.95" customHeight="1" x14ac:dyDescent="0.25">
      <c r="A49" s="33" t="s">
        <v>388</v>
      </c>
      <c r="B49" s="32" t="s">
        <v>54</v>
      </c>
      <c r="C49" s="2" t="s">
        <v>435</v>
      </c>
      <c r="D49" s="2" t="s">
        <v>436</v>
      </c>
    </row>
    <row r="50" spans="1:4" ht="29.95" customHeight="1" x14ac:dyDescent="0.25">
      <c r="A50" s="33" t="s">
        <v>388</v>
      </c>
      <c r="B50" s="32" t="s">
        <v>55</v>
      </c>
      <c r="C50" s="2" t="s">
        <v>435</v>
      </c>
      <c r="D50" s="2" t="s">
        <v>437</v>
      </c>
    </row>
    <row r="51" spans="1:4" ht="29.95" customHeight="1" x14ac:dyDescent="0.25">
      <c r="A51" s="33" t="s">
        <v>388</v>
      </c>
      <c r="B51" s="32" t="s">
        <v>56</v>
      </c>
      <c r="C51" s="2" t="s">
        <v>435</v>
      </c>
      <c r="D51" s="2" t="s">
        <v>438</v>
      </c>
    </row>
    <row r="52" spans="1:4" ht="29.95" customHeight="1" x14ac:dyDescent="0.25">
      <c r="A52" s="33" t="s">
        <v>388</v>
      </c>
      <c r="B52" s="32" t="s">
        <v>57</v>
      </c>
      <c r="C52" s="2" t="s">
        <v>439</v>
      </c>
      <c r="D52" s="2" t="s">
        <v>440</v>
      </c>
    </row>
    <row r="53" spans="1:4" ht="29.95" customHeight="1" x14ac:dyDescent="0.25">
      <c r="A53" s="33" t="s">
        <v>388</v>
      </c>
      <c r="B53" s="32" t="s">
        <v>58</v>
      </c>
      <c r="C53" s="2" t="s">
        <v>435</v>
      </c>
      <c r="D53" s="2" t="s">
        <v>441</v>
      </c>
    </row>
    <row r="54" spans="1:4" ht="29.95" customHeight="1" x14ac:dyDescent="0.25">
      <c r="A54" s="33" t="s">
        <v>388</v>
      </c>
      <c r="B54" s="32" t="s">
        <v>59</v>
      </c>
      <c r="C54" s="2" t="s">
        <v>442</v>
      </c>
      <c r="D54" s="2" t="s">
        <v>443</v>
      </c>
    </row>
    <row r="55" spans="1:4" ht="29.95" customHeight="1" x14ac:dyDescent="0.25">
      <c r="A55" s="33" t="s">
        <v>444</v>
      </c>
      <c r="B55" s="32" t="s">
        <v>29</v>
      </c>
      <c r="C55" s="2" t="s">
        <v>389</v>
      </c>
      <c r="D55" s="2" t="s">
        <v>390</v>
      </c>
    </row>
    <row r="56" spans="1:4" ht="29.95" customHeight="1" x14ac:dyDescent="0.25">
      <c r="A56" s="33" t="s">
        <v>444</v>
      </c>
      <c r="B56" s="32" t="s">
        <v>30</v>
      </c>
      <c r="C56" s="2" t="s">
        <v>391</v>
      </c>
      <c r="D56" s="2" t="s">
        <v>392</v>
      </c>
    </row>
    <row r="57" spans="1:4" ht="29.95" customHeight="1" x14ac:dyDescent="0.25">
      <c r="A57" s="33" t="s">
        <v>444</v>
      </c>
      <c r="B57" s="32" t="s">
        <v>31</v>
      </c>
      <c r="C57" s="2" t="s">
        <v>393</v>
      </c>
      <c r="D57" s="2" t="s">
        <v>394</v>
      </c>
    </row>
    <row r="58" spans="1:4" ht="29.95" customHeight="1" x14ac:dyDescent="0.25">
      <c r="A58" s="33" t="s">
        <v>444</v>
      </c>
      <c r="B58" s="32" t="s">
        <v>32</v>
      </c>
      <c r="C58" s="2" t="s">
        <v>395</v>
      </c>
      <c r="D58" s="2" t="s">
        <v>396</v>
      </c>
    </row>
    <row r="59" spans="1:4" ht="29.95" customHeight="1" x14ac:dyDescent="0.25">
      <c r="A59" s="33" t="s">
        <v>444</v>
      </c>
      <c r="B59" s="32" t="s">
        <v>33</v>
      </c>
      <c r="C59" s="2" t="s">
        <v>397</v>
      </c>
      <c r="D59" s="2" t="s">
        <v>398</v>
      </c>
    </row>
    <row r="60" spans="1:4" ht="29.95" customHeight="1" x14ac:dyDescent="0.25">
      <c r="A60" s="33" t="s">
        <v>444</v>
      </c>
      <c r="B60" s="32" t="s">
        <v>34</v>
      </c>
      <c r="C60" s="2" t="s">
        <v>399</v>
      </c>
      <c r="D60" s="2" t="s">
        <v>400</v>
      </c>
    </row>
    <row r="61" spans="1:4" ht="29.95" customHeight="1" x14ac:dyDescent="0.25">
      <c r="A61" s="33" t="s">
        <v>444</v>
      </c>
      <c r="B61" s="32" t="s">
        <v>35</v>
      </c>
      <c r="C61" s="2" t="s">
        <v>401</v>
      </c>
      <c r="D61" s="2" t="s">
        <v>402</v>
      </c>
    </row>
    <row r="62" spans="1:4" ht="29.95" customHeight="1" x14ac:dyDescent="0.25">
      <c r="A62" s="33" t="s">
        <v>444</v>
      </c>
      <c r="B62" s="32" t="s">
        <v>36</v>
      </c>
      <c r="C62" s="2" t="s">
        <v>403</v>
      </c>
      <c r="D62" s="2" t="s">
        <v>404</v>
      </c>
    </row>
    <row r="63" spans="1:4" ht="29.95" customHeight="1" x14ac:dyDescent="0.25">
      <c r="A63" s="33" t="s">
        <v>444</v>
      </c>
      <c r="B63" s="32" t="s">
        <v>37</v>
      </c>
      <c r="C63" s="2" t="s">
        <v>405</v>
      </c>
      <c r="D63" s="2" t="s">
        <v>406</v>
      </c>
    </row>
    <row r="64" spans="1:4" ht="29.95" customHeight="1" x14ac:dyDescent="0.25">
      <c r="A64" s="33" t="s">
        <v>444</v>
      </c>
      <c r="B64" s="32" t="s">
        <v>38</v>
      </c>
      <c r="C64" s="2" t="s">
        <v>407</v>
      </c>
      <c r="D64" s="2" t="s">
        <v>406</v>
      </c>
    </row>
    <row r="65" spans="1:4" ht="29.95" customHeight="1" x14ac:dyDescent="0.25">
      <c r="A65" s="33" t="s">
        <v>444</v>
      </c>
      <c r="B65" s="32" t="s">
        <v>42</v>
      </c>
      <c r="C65" s="2" t="s">
        <v>411</v>
      </c>
      <c r="D65" s="2" t="s">
        <v>412</v>
      </c>
    </row>
    <row r="66" spans="1:4" ht="29.95" customHeight="1" x14ac:dyDescent="0.25">
      <c r="A66" s="33" t="s">
        <v>444</v>
      </c>
      <c r="B66" s="32" t="s">
        <v>43</v>
      </c>
      <c r="C66" s="2" t="s">
        <v>413</v>
      </c>
      <c r="D66" s="2" t="s">
        <v>414</v>
      </c>
    </row>
    <row r="67" spans="1:4" ht="29.95" customHeight="1" x14ac:dyDescent="0.25">
      <c r="A67" s="33" t="s">
        <v>444</v>
      </c>
      <c r="B67" s="32" t="s">
        <v>44</v>
      </c>
      <c r="C67" s="2" t="s">
        <v>415</v>
      </c>
      <c r="D67" s="2" t="s">
        <v>416</v>
      </c>
    </row>
    <row r="68" spans="1:4" ht="29.95" customHeight="1" x14ac:dyDescent="0.25">
      <c r="A68" s="33" t="s">
        <v>444</v>
      </c>
      <c r="B68" s="32" t="s">
        <v>116</v>
      </c>
      <c r="C68" s="2" t="s">
        <v>445</v>
      </c>
      <c r="D68" s="2" t="s">
        <v>446</v>
      </c>
    </row>
    <row r="69" spans="1:4" ht="29.95" customHeight="1" x14ac:dyDescent="0.25">
      <c r="A69" s="33" t="s">
        <v>444</v>
      </c>
      <c r="B69" s="32" t="s">
        <v>117</v>
      </c>
      <c r="C69" s="2" t="s">
        <v>447</v>
      </c>
      <c r="D69" s="2" t="s">
        <v>443</v>
      </c>
    </row>
    <row r="70" spans="1:4" ht="29.95" customHeight="1" x14ac:dyDescent="0.25">
      <c r="A70" s="33" t="s">
        <v>444</v>
      </c>
      <c r="B70" s="32" t="s">
        <v>45</v>
      </c>
      <c r="C70" s="2" t="s">
        <v>417</v>
      </c>
      <c r="D70" s="2" t="s">
        <v>418</v>
      </c>
    </row>
    <row r="71" spans="1:4" ht="29.95" customHeight="1" x14ac:dyDescent="0.25">
      <c r="A71" s="33" t="s">
        <v>444</v>
      </c>
      <c r="B71" s="32" t="s">
        <v>46</v>
      </c>
      <c r="C71" s="2" t="s">
        <v>419</v>
      </c>
      <c r="D71" s="2" t="s">
        <v>420</v>
      </c>
    </row>
    <row r="72" spans="1:4" ht="29.95" customHeight="1" x14ac:dyDescent="0.25">
      <c r="A72" s="33" t="s">
        <v>444</v>
      </c>
      <c r="B72" s="32" t="s">
        <v>47</v>
      </c>
      <c r="C72" s="2" t="s">
        <v>421</v>
      </c>
      <c r="D72" s="2" t="s">
        <v>422</v>
      </c>
    </row>
    <row r="73" spans="1:4" ht="29.95" customHeight="1" x14ac:dyDescent="0.25">
      <c r="A73" s="33" t="s">
        <v>444</v>
      </c>
      <c r="B73" s="32" t="s">
        <v>48</v>
      </c>
      <c r="C73" s="2" t="s">
        <v>423</v>
      </c>
      <c r="D73" s="2" t="s">
        <v>424</v>
      </c>
    </row>
    <row r="74" spans="1:4" ht="29.95" customHeight="1" x14ac:dyDescent="0.25">
      <c r="A74" s="33" t="s">
        <v>444</v>
      </c>
      <c r="B74" s="32" t="s">
        <v>49</v>
      </c>
      <c r="C74" s="2" t="s">
        <v>425</v>
      </c>
      <c r="D74" s="2" t="s">
        <v>426</v>
      </c>
    </row>
    <row r="75" spans="1:4" ht="29.95" customHeight="1" x14ac:dyDescent="0.25">
      <c r="A75" s="33" t="s">
        <v>444</v>
      </c>
      <c r="B75" s="32" t="s">
        <v>50</v>
      </c>
      <c r="C75" s="2" t="s">
        <v>427</v>
      </c>
      <c r="D75" s="2" t="s">
        <v>428</v>
      </c>
    </row>
    <row r="76" spans="1:4" ht="29.95" customHeight="1" x14ac:dyDescent="0.25">
      <c r="A76" s="33" t="s">
        <v>444</v>
      </c>
      <c r="B76" s="32" t="s">
        <v>51</v>
      </c>
      <c r="C76" s="2" t="s">
        <v>429</v>
      </c>
      <c r="D76" s="2" t="s">
        <v>430</v>
      </c>
    </row>
    <row r="77" spans="1:4" ht="29.95" customHeight="1" x14ac:dyDescent="0.25">
      <c r="A77" s="33" t="s">
        <v>444</v>
      </c>
      <c r="B77" s="32" t="s">
        <v>52</v>
      </c>
      <c r="C77" s="2" t="s">
        <v>431</v>
      </c>
      <c r="D77" s="2" t="s">
        <v>432</v>
      </c>
    </row>
    <row r="78" spans="1:4" ht="29.95" customHeight="1" x14ac:dyDescent="0.25">
      <c r="A78" s="33" t="s">
        <v>444</v>
      </c>
      <c r="B78" s="32" t="s">
        <v>53</v>
      </c>
      <c r="C78" s="2" t="s">
        <v>433</v>
      </c>
      <c r="D78" s="2" t="s">
        <v>434</v>
      </c>
    </row>
    <row r="79" spans="1:4" ht="29.95" customHeight="1" x14ac:dyDescent="0.25">
      <c r="A79" s="33" t="s">
        <v>444</v>
      </c>
      <c r="B79" s="32" t="s">
        <v>54</v>
      </c>
      <c r="C79" s="2" t="s">
        <v>435</v>
      </c>
      <c r="D79" s="2" t="s">
        <v>436</v>
      </c>
    </row>
    <row r="80" spans="1:4" ht="29.95" customHeight="1" x14ac:dyDescent="0.25">
      <c r="A80" s="33" t="s">
        <v>444</v>
      </c>
      <c r="B80" s="32" t="s">
        <v>55</v>
      </c>
      <c r="C80" s="2" t="s">
        <v>435</v>
      </c>
      <c r="D80" s="2" t="s">
        <v>437</v>
      </c>
    </row>
    <row r="81" spans="1:4" ht="29.95" customHeight="1" x14ac:dyDescent="0.25">
      <c r="A81" s="33" t="s">
        <v>444</v>
      </c>
      <c r="B81" s="32" t="s">
        <v>56</v>
      </c>
      <c r="C81" s="2" t="s">
        <v>435</v>
      </c>
      <c r="D81" s="2" t="s">
        <v>438</v>
      </c>
    </row>
    <row r="82" spans="1:4" ht="29.95" customHeight="1" x14ac:dyDescent="0.25">
      <c r="A82" s="33" t="s">
        <v>444</v>
      </c>
      <c r="B82" s="32" t="s">
        <v>57</v>
      </c>
      <c r="C82" s="2" t="s">
        <v>439</v>
      </c>
      <c r="D82" s="2" t="s">
        <v>440</v>
      </c>
    </row>
    <row r="83" spans="1:4" ht="29.95" customHeight="1" x14ac:dyDescent="0.25">
      <c r="A83" s="33" t="s">
        <v>444</v>
      </c>
      <c r="B83" s="32" t="s">
        <v>59</v>
      </c>
      <c r="C83" s="2" t="s">
        <v>448</v>
      </c>
      <c r="D83" s="2" t="s">
        <v>443</v>
      </c>
    </row>
    <row r="85" spans="1:4" ht="15.7" x14ac:dyDescent="0.25">
      <c r="A85" s="29" t="s">
        <v>449</v>
      </c>
    </row>
    <row r="86" spans="1:4" ht="28" customHeight="1" x14ac:dyDescent="0.25">
      <c r="A86" s="38" t="s">
        <v>450</v>
      </c>
      <c r="B86" s="39"/>
      <c r="C86" s="39"/>
      <c r="D86" s="39"/>
    </row>
    <row r="87" spans="1:4" ht="28" customHeight="1" x14ac:dyDescent="0.25">
      <c r="A87" s="38" t="s">
        <v>451</v>
      </c>
      <c r="B87" s="39"/>
      <c r="C87" s="39"/>
      <c r="D87" s="39"/>
    </row>
    <row r="88" spans="1:4" ht="28" customHeight="1" x14ac:dyDescent="0.25">
      <c r="A88" s="38" t="s">
        <v>452</v>
      </c>
      <c r="B88" s="39"/>
      <c r="C88" s="39"/>
      <c r="D88" s="39"/>
    </row>
    <row r="89" spans="1:4" ht="28" customHeight="1" x14ac:dyDescent="0.25">
      <c r="A89" s="38" t="s">
        <v>453</v>
      </c>
      <c r="B89" s="39"/>
      <c r="C89" s="39"/>
      <c r="D89" s="39"/>
    </row>
    <row r="90" spans="1:4" ht="28" customHeight="1" x14ac:dyDescent="0.25">
      <c r="A90" s="38" t="s">
        <v>454</v>
      </c>
      <c r="B90" s="39"/>
      <c r="C90" s="39"/>
      <c r="D90" s="39"/>
    </row>
    <row r="91" spans="1:4" ht="28" customHeight="1" x14ac:dyDescent="0.25">
      <c r="A91" s="38" t="s">
        <v>455</v>
      </c>
      <c r="B91" s="39"/>
      <c r="C91" s="39"/>
      <c r="D91" s="39"/>
    </row>
    <row r="92" spans="1:4" ht="28" customHeight="1" x14ac:dyDescent="0.25">
      <c r="A92" s="38" t="s">
        <v>456</v>
      </c>
      <c r="B92" s="39"/>
      <c r="C92" s="39"/>
      <c r="D92" s="39"/>
    </row>
  </sheetData>
  <mergeCells count="23">
    <mergeCell ref="B5:D5"/>
    <mergeCell ref="A88:D88"/>
    <mergeCell ref="A87:D87"/>
    <mergeCell ref="B7:D7"/>
    <mergeCell ref="A90:D90"/>
    <mergeCell ref="B16:D16"/>
    <mergeCell ref="A89:D89"/>
    <mergeCell ref="A86:D86"/>
    <mergeCell ref="B18:D18"/>
    <mergeCell ref="B12:D12"/>
    <mergeCell ref="A92:D92"/>
    <mergeCell ref="B9:D9"/>
    <mergeCell ref="B15:D15"/>
    <mergeCell ref="B6:D6"/>
    <mergeCell ref="B20:D20"/>
    <mergeCell ref="B11:D11"/>
    <mergeCell ref="B14:D14"/>
    <mergeCell ref="A91:D91"/>
    <mergeCell ref="B8:D8"/>
    <mergeCell ref="B17:D17"/>
    <mergeCell ref="B13:D13"/>
    <mergeCell ref="B10:D10"/>
    <mergeCell ref="B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Leia-me</vt:lpstr>
      <vt:lpstr>Estados</vt:lpstr>
      <vt:lpstr>Municípios RJ</vt:lpstr>
      <vt:lpstr>Com e sem</vt:lpstr>
      <vt:lpstr>Dados dos gráficos</vt:lpstr>
      <vt:lpstr>Gráficos</vt:lpstr>
      <vt:lpstr>Legenda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Saúde fiscal do RJ, 2024</dc:title>
  <dc:creator>Projeto saude-fiscal-rj</dc:creator>
  <cp:lastModifiedBy>Matheus Augusto</cp:lastModifiedBy>
  <dcterms:created xsi:type="dcterms:W3CDTF">2026-10-23T17:20:53Z</dcterms:created>
  <dcterms:modified xsi:type="dcterms:W3CDTF">2026-10-23T17:20:59Z</dcterms:modified>
</cp:coreProperties>
</file>